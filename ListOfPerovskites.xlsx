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7B7F143-2CFB-4009-8A0C-4691910A13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upp_Tables" sheetId="2" r:id="rId2"/>
    <sheet name="Main_tables" sheetId="3" r:id="rId3"/>
  </sheets>
  <calcPr calcId="181029"/>
</workbook>
</file>

<file path=xl/calcChain.xml><?xml version="1.0" encoding="utf-8"?>
<calcChain xmlns="http://schemas.openxmlformats.org/spreadsheetml/2006/main">
  <c r="F98" i="1" l="1"/>
  <c r="F94" i="1"/>
  <c r="F90" i="1"/>
  <c r="F85" i="1"/>
  <c r="F73" i="1"/>
  <c r="F72" i="1"/>
  <c r="F69" i="1"/>
  <c r="F66" i="1"/>
  <c r="F61" i="1"/>
  <c r="F49" i="1"/>
  <c r="F46" i="1"/>
  <c r="F29" i="1"/>
  <c r="F32" i="1"/>
  <c r="F44" i="1"/>
  <c r="F25" i="1"/>
  <c r="F12" i="1"/>
  <c r="F8" i="1"/>
  <c r="F2" i="1"/>
  <c r="F81" i="1"/>
  <c r="F77" i="1"/>
  <c r="F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Compared with MACaI3 =2.95 eV
EN of Cl &gt; I = + BG
Size of HY&lt;MA =+BG
EN effects &gt; Size effects</t>
        </r>
      </text>
    </comment>
    <comment ref="Z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Compared with MASr3 =3.6 eV
EN of Cl &gt; I = + BG
Size of HY&lt;MA =+BG
EN effects &gt; Size effects</t>
        </r>
      </text>
    </comment>
    <comment ref="Z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Compared with MACaI3 =2.95 eV
EN of Cl &gt; I = + BG
Size of HY&lt;MA =+BG
EN effects &gt; Size effects</t>
        </r>
      </text>
    </comment>
    <comment ref="Z1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Compared with MACaI3 =1.2 eV
EN of Cl &gt; I = + BG
Size of HY&lt;MA =+BG
EN effects &gt; Size effects</t>
        </r>
      </text>
    </comment>
    <comment ref="Z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Compared with MAPbI3 =1.6 eV
EN of Cl &gt; I = + BG
Size of HY&lt;MA =+BG
EN effects &gt; Size effects</t>
        </r>
      </text>
    </comment>
    <comment ref="Z36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Compared with MAPbI3 =1.6 eV
Size of MA&lt;AZ =-BG</t>
        </r>
      </text>
    </comment>
  </commentList>
</comments>
</file>

<file path=xl/sharedStrings.xml><?xml version="1.0" encoding="utf-8"?>
<sst xmlns="http://schemas.openxmlformats.org/spreadsheetml/2006/main" count="811" uniqueCount="268">
  <si>
    <t>s.no</t>
  </si>
  <si>
    <t>name</t>
  </si>
  <si>
    <t>TF</t>
  </si>
  <si>
    <t>HYSrCl3</t>
  </si>
  <si>
    <t>HASrCl3</t>
  </si>
  <si>
    <t>MASrCl3</t>
  </si>
  <si>
    <t>FASrCl3</t>
  </si>
  <si>
    <t>GUASrCl3</t>
  </si>
  <si>
    <t>AZSrCl3</t>
  </si>
  <si>
    <t>HYSnCl3</t>
  </si>
  <si>
    <t>HASnCl3</t>
  </si>
  <si>
    <t>FASnCl3</t>
  </si>
  <si>
    <t>AZSnCl3</t>
  </si>
  <si>
    <t>HYSrBr3</t>
  </si>
  <si>
    <t>HASrBr3</t>
  </si>
  <si>
    <t>MASrBr3</t>
  </si>
  <si>
    <t>FASrBr3</t>
  </si>
  <si>
    <t>GUASrBr3</t>
  </si>
  <si>
    <t>AZSrBr3</t>
  </si>
  <si>
    <t>DiMASrBr3</t>
  </si>
  <si>
    <t>HYSnBr3</t>
  </si>
  <si>
    <t>HASnBr3</t>
  </si>
  <si>
    <t>FASnBr3</t>
  </si>
  <si>
    <t>GUASnBr3</t>
  </si>
  <si>
    <t>AZSnBr3</t>
  </si>
  <si>
    <t>DiMASnBr3</t>
  </si>
  <si>
    <t>HYDyCl3</t>
  </si>
  <si>
    <t>HADyCl3</t>
  </si>
  <si>
    <t>MADyCl3</t>
  </si>
  <si>
    <t>FADyCl3</t>
  </si>
  <si>
    <t>HYSmCl3</t>
  </si>
  <si>
    <t>HASmCl3</t>
  </si>
  <si>
    <t>MASmCl3</t>
  </si>
  <si>
    <t>HYSrI3</t>
  </si>
  <si>
    <t>HASrI3</t>
  </si>
  <si>
    <t>FASrI3</t>
  </si>
  <si>
    <t>GUASrI3</t>
  </si>
  <si>
    <t>AZSrI3</t>
  </si>
  <si>
    <t>DiMASrI3</t>
  </si>
  <si>
    <t>EASrI3</t>
  </si>
  <si>
    <t>AASrI3</t>
  </si>
  <si>
    <t>TetraMASrI3</t>
  </si>
  <si>
    <t>IMSrI3</t>
  </si>
  <si>
    <t>TriMASrI3</t>
  </si>
  <si>
    <t>isoPASrI3</t>
  </si>
  <si>
    <t>HYPbCl3</t>
  </si>
  <si>
    <t>HAPbCl3</t>
  </si>
  <si>
    <t>HYDyBr3</t>
  </si>
  <si>
    <t>HADyBr3</t>
  </si>
  <si>
    <t>MADyBr3</t>
  </si>
  <si>
    <t>HYSmI3</t>
  </si>
  <si>
    <t>HASmI3</t>
  </si>
  <si>
    <t>MASmI3</t>
  </si>
  <si>
    <t>FASmI3</t>
  </si>
  <si>
    <t>GUASmI3</t>
  </si>
  <si>
    <t>AZSmI3</t>
  </si>
  <si>
    <t>DiMASmI3</t>
  </si>
  <si>
    <t>EASmI3</t>
  </si>
  <si>
    <t>AASmI3</t>
  </si>
  <si>
    <t>TetraMASmI3</t>
  </si>
  <si>
    <t>IMSmI3</t>
  </si>
  <si>
    <t>TriMASmI3</t>
  </si>
  <si>
    <t>NH4TmCl3</t>
  </si>
  <si>
    <t>HYTmCl3</t>
  </si>
  <si>
    <t>HATmCl3</t>
  </si>
  <si>
    <t>MATmCl3</t>
  </si>
  <si>
    <t>HAPbBr3</t>
  </si>
  <si>
    <t>HYCaCl3</t>
  </si>
  <si>
    <t>HACaCl3</t>
  </si>
  <si>
    <t>MACaCl3</t>
  </si>
  <si>
    <t>HYTmBr3</t>
  </si>
  <si>
    <t>HATmBr3</t>
  </si>
  <si>
    <t>MATmBr3</t>
  </si>
  <si>
    <t>AZPbI3</t>
  </si>
  <si>
    <t>NH4YbCl3</t>
  </si>
  <si>
    <t>HYYbCl3</t>
  </si>
  <si>
    <t>HAYbCl3</t>
  </si>
  <si>
    <t>MAYbCl3</t>
  </si>
  <si>
    <t>NH4CaBr3</t>
  </si>
  <si>
    <t>HYCaBr3</t>
  </si>
  <si>
    <t>HACaBr3</t>
  </si>
  <si>
    <t>MACaBr3</t>
  </si>
  <si>
    <t>NH4YbBr3</t>
  </si>
  <si>
    <t>HYYbBr3</t>
  </si>
  <si>
    <t>HAYbBr3</t>
  </si>
  <si>
    <t>MAYbBr3</t>
  </si>
  <si>
    <t>HYDyI3</t>
  </si>
  <si>
    <t>HADyI3</t>
  </si>
  <si>
    <t>MADyI3</t>
  </si>
  <si>
    <t>FADyI3</t>
  </si>
  <si>
    <t>GUADyI3</t>
  </si>
  <si>
    <t>NH4SmBr3</t>
  </si>
  <si>
    <t>HYSmBr3</t>
  </si>
  <si>
    <t>HASmBr3</t>
  </si>
  <si>
    <t>MASmBr3</t>
  </si>
  <si>
    <t>HYTmI3</t>
  </si>
  <si>
    <t>HATmI3</t>
  </si>
  <si>
    <t>MATmI3</t>
  </si>
  <si>
    <t>FATmI3</t>
  </si>
  <si>
    <t>HYYbI3</t>
  </si>
  <si>
    <t>HAYbI3</t>
  </si>
  <si>
    <t>MAYbI3</t>
  </si>
  <si>
    <t>HYCaI3</t>
  </si>
  <si>
    <t>HACaI3</t>
  </si>
  <si>
    <t>HYSnI3</t>
  </si>
  <si>
    <t>HASnI3</t>
  </si>
  <si>
    <t>GUASnI3</t>
  </si>
  <si>
    <t>AZSnI3</t>
  </si>
  <si>
    <t>AZDyI3</t>
  </si>
  <si>
    <t xml:space="preserve">160 out of 468 </t>
  </si>
  <si>
    <t>combinations</t>
  </si>
  <si>
    <t xml:space="preserve">having </t>
  </si>
  <si>
    <t>0.9 &lt; TF &lt; 1.12</t>
  </si>
  <si>
    <t>Ge</t>
  </si>
  <si>
    <t>Ca</t>
  </si>
  <si>
    <t>9 divalent metals</t>
  </si>
  <si>
    <t>symbol</t>
  </si>
  <si>
    <t>Tin</t>
  </si>
  <si>
    <t>Sn</t>
  </si>
  <si>
    <t>Pb</t>
  </si>
  <si>
    <t>Sr</t>
  </si>
  <si>
    <t>Tm</t>
  </si>
  <si>
    <t>Sm</t>
  </si>
  <si>
    <t>Yb</t>
  </si>
  <si>
    <t>Dy</t>
  </si>
  <si>
    <t>Lead</t>
  </si>
  <si>
    <t>Strontium</t>
  </si>
  <si>
    <t>Samarium</t>
  </si>
  <si>
    <t>Dysporium</t>
  </si>
  <si>
    <t>3 Halides</t>
  </si>
  <si>
    <t>Chlorine</t>
  </si>
  <si>
    <t xml:space="preserve">Bromine </t>
  </si>
  <si>
    <t>Iodine</t>
  </si>
  <si>
    <t>Cl</t>
  </si>
  <si>
    <t>Br</t>
  </si>
  <si>
    <t>I</t>
  </si>
  <si>
    <t>Sorted by Abundance on Earth</t>
  </si>
  <si>
    <t>mass fraction ppm</t>
  </si>
  <si>
    <t>Thulium</t>
  </si>
  <si>
    <t>Ytterbium</t>
  </si>
  <si>
    <t>Calcium</t>
  </si>
  <si>
    <t>Germanium</t>
  </si>
  <si>
    <t>18 molecular cations</t>
  </si>
  <si>
    <t>Ammonium</t>
  </si>
  <si>
    <t>Hydrazinium</t>
  </si>
  <si>
    <t>Hydroxlammonium</t>
  </si>
  <si>
    <t>Methylammonium</t>
  </si>
  <si>
    <t>Formamidinium</t>
  </si>
  <si>
    <t>Guanidinium</t>
  </si>
  <si>
    <t>Azetidinium</t>
  </si>
  <si>
    <t>Dimethylammonium</t>
  </si>
  <si>
    <t>Ethylammonium</t>
  </si>
  <si>
    <t>Azetamidinium</t>
  </si>
  <si>
    <t>Tetramethylammonium</t>
  </si>
  <si>
    <t>Imidazolium</t>
  </si>
  <si>
    <t>TriMA</t>
  </si>
  <si>
    <t>Isopropylammonium</t>
  </si>
  <si>
    <t>Pyrrolidinium</t>
  </si>
  <si>
    <t>Isobutylammonium</t>
  </si>
  <si>
    <t>Diethylammonium</t>
  </si>
  <si>
    <t>Phenylammonium</t>
  </si>
  <si>
    <t>NH4</t>
  </si>
  <si>
    <t>HY</t>
  </si>
  <si>
    <t>HA</t>
  </si>
  <si>
    <t>MA</t>
  </si>
  <si>
    <t>FA</t>
  </si>
  <si>
    <t>GUA</t>
  </si>
  <si>
    <t>AZ</t>
  </si>
  <si>
    <t>DiMA</t>
  </si>
  <si>
    <t>EA</t>
  </si>
  <si>
    <t>AA</t>
  </si>
  <si>
    <t>TetraMA</t>
  </si>
  <si>
    <t>IM</t>
  </si>
  <si>
    <t>i-Pa</t>
  </si>
  <si>
    <t>PY</t>
  </si>
  <si>
    <t>i-BuA</t>
  </si>
  <si>
    <t>DiEA</t>
  </si>
  <si>
    <t>PhA</t>
  </si>
  <si>
    <t>(all are abundant , values ignored)</t>
  </si>
  <si>
    <t>least abundance per unit cell (ppm)</t>
  </si>
  <si>
    <t>abundance</t>
  </si>
  <si>
    <t>Sort by Predicted Bandgap</t>
  </si>
  <si>
    <t xml:space="preserve">Electronegativity and ionic radii affects bandGap  </t>
  </si>
  <si>
    <t>EN(pauling)</t>
  </si>
  <si>
    <t>(major atoms present)</t>
  </si>
  <si>
    <t>Nitrogen</t>
  </si>
  <si>
    <t>Carbon</t>
  </si>
  <si>
    <t>(no of N/C atoms)</t>
  </si>
  <si>
    <t>N numbers</t>
  </si>
  <si>
    <t>C numbers</t>
  </si>
  <si>
    <t>Oxygen</t>
  </si>
  <si>
    <t>Size(A)</t>
  </si>
  <si>
    <t xml:space="preserve">9 divalent metals radii changes wrt halide </t>
  </si>
  <si>
    <t>Size(A),Cl</t>
  </si>
  <si>
    <t>Size(A),Br</t>
  </si>
  <si>
    <t>Size(A),I</t>
  </si>
  <si>
    <t>&gt;2.95</t>
  </si>
  <si>
    <t>&gt;3.6</t>
  </si>
  <si>
    <t>&gt;1.2</t>
  </si>
  <si>
    <t>&gt;1.6</t>
  </si>
  <si>
    <t>&lt;1.6</t>
  </si>
  <si>
    <t>Predicted Band Gap(eV)</t>
  </si>
  <si>
    <t>predicted band gap(eV)</t>
  </si>
  <si>
    <t>table 1</t>
  </si>
  <si>
    <t>material abundance in ppm</t>
  </si>
  <si>
    <t>mass fraction 
(in ppm) Ref. &lt;x&gt;</t>
  </si>
  <si>
    <t>Name</t>
  </si>
  <si>
    <t>Symbol</t>
  </si>
  <si>
    <t xml:space="preserve">table 2 </t>
  </si>
  <si>
    <t>Molecular Cation</t>
  </si>
  <si>
    <t>Short notation</t>
  </si>
  <si>
    <t>molecular cations</t>
  </si>
  <si>
    <t>table 3</t>
  </si>
  <si>
    <t>Calculated least abundance of unit formula for each permutation</t>
  </si>
  <si>
    <t>least abundance 
per unit cell
 (in ppm)</t>
  </si>
  <si>
    <t>table 4</t>
  </si>
  <si>
    <t>Bandgap of various perovskite Compounds</t>
  </si>
  <si>
    <t>S.no</t>
  </si>
  <si>
    <t>BandGap</t>
  </si>
  <si>
    <t>MACaI3</t>
  </si>
  <si>
    <t>MASrI3</t>
  </si>
  <si>
    <t>MASnI3</t>
  </si>
  <si>
    <t>MAPbI3</t>
  </si>
  <si>
    <t>table 5</t>
  </si>
  <si>
    <t>Speculated 
Band Gap range(eV)</t>
  </si>
  <si>
    <t>Speculated Bandgap range using band gap trends of perovskite materials</t>
  </si>
  <si>
    <t>Table 6</t>
  </si>
  <si>
    <t>Band gap range closer to optimal range</t>
  </si>
  <si>
    <t>&gt;&gt;1.6</t>
  </si>
  <si>
    <t>Speculated 
band gap(eV)</t>
  </si>
  <si>
    <t xml:space="preserve">Table 1. </t>
  </si>
  <si>
    <t>Compound</t>
  </si>
  <si>
    <t>a (in Å)</t>
  </si>
  <si>
    <t>b (in Å)</t>
  </si>
  <si>
    <t>c (in Å)</t>
  </si>
  <si>
    <t>α (in deg)</t>
  </si>
  <si>
    <t>β (in deg)</t>
  </si>
  <si>
    <t>γ (in deg)</t>
  </si>
  <si>
    <t>lattice parameters and band gap</t>
  </si>
  <si>
    <t>SR-DFT</t>
  </si>
  <si>
    <t>GW-DFT</t>
  </si>
  <si>
    <t>Calc Band gap
(in eV)</t>
  </si>
  <si>
    <t>Expt Band Gap
(in eV)</t>
  </si>
  <si>
    <t>-</t>
  </si>
  <si>
    <r>
      <t xml:space="preserve">Volume 
(in </t>
    </r>
    <r>
      <rPr>
        <b/>
        <sz val="11"/>
        <color theme="1"/>
        <rFont val="Calibri"/>
        <family val="2"/>
      </rPr>
      <t>Å^3</t>
    </r>
    <r>
      <rPr>
        <b/>
        <sz val="11"/>
        <color theme="1"/>
        <rFont val="Calibri"/>
        <family val="2"/>
        <scheme val="minor"/>
      </rPr>
      <t>)</t>
    </r>
  </si>
  <si>
    <t>2.40 (ref x)</t>
  </si>
  <si>
    <t>Table 2.</t>
  </si>
  <si>
    <t>calculated bond length/angle, equatorial/apical and H_bonds</t>
  </si>
  <si>
    <t>Equatorial</t>
  </si>
  <si>
    <t>Apical</t>
  </si>
  <si>
    <t>Sn-Br bond length (Å)</t>
  </si>
  <si>
    <t>Sn-Br-Sn bond angle (deg)</t>
  </si>
  <si>
    <t>H bond number</t>
  </si>
  <si>
    <t>rough notes</t>
  </si>
  <si>
    <t>length</t>
  </si>
  <si>
    <t>eq</t>
  </si>
  <si>
    <t>ap</t>
  </si>
  <si>
    <t>angle</t>
  </si>
  <si>
    <t>2.695 - 3.925</t>
  </si>
  <si>
    <t>2.882 - 3.079</t>
  </si>
  <si>
    <t>2.688 - 3.902</t>
  </si>
  <si>
    <t>2.682 - 3.543</t>
  </si>
  <si>
    <t>2.706 - 3.568</t>
  </si>
  <si>
    <t>177 - 180</t>
  </si>
  <si>
    <t>172 - 169</t>
  </si>
  <si>
    <t>163 - 178</t>
  </si>
  <si>
    <t>H bond is considered when the distance between the H-Br is less than 2.8 Ang</t>
  </si>
  <si>
    <t>H-Bond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</si>
</sst>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8" xfId="0" applyFont="1" applyBorder="1"/>
    <xf numFmtId="0" fontId="0" fillId="0" borderId="8" xfId="0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8" xfId="0" applyFill="1" applyBorder="1"/>
    <xf numFmtId="0" fontId="1" fillId="0" borderId="8" xfId="0" applyFont="1" applyBorder="1" applyAlignment="1">
      <alignment wrapText="1"/>
    </xf>
    <xf numFmtId="0" fontId="0" fillId="0" borderId="8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/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4" fillId="0" borderId="14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right" vertical="center"/>
    </xf>
    <xf numFmtId="0" fontId="3" fillId="4" borderId="13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15" xfId="0" applyFont="1" applyBorder="1"/>
    <xf numFmtId="0" fontId="1" fillId="0" borderId="15" xfId="0" applyFont="1" applyBorder="1" applyAlignment="1">
      <alignment wrapText="1"/>
    </xf>
    <xf numFmtId="0" fontId="5" fillId="0" borderId="15" xfId="0" applyFont="1" applyBorder="1"/>
    <xf numFmtId="0" fontId="5" fillId="0" borderId="15" xfId="0" applyFont="1" applyBorder="1" applyAlignment="1">
      <alignment horizontal="center" wrapText="1"/>
    </xf>
    <xf numFmtId="0" fontId="0" fillId="0" borderId="16" xfId="0" applyBorder="1"/>
    <xf numFmtId="0" fontId="1" fillId="0" borderId="16" xfId="0" applyFont="1" applyBorder="1"/>
    <xf numFmtId="164" fontId="0" fillId="0" borderId="16" xfId="0" applyNumberFormat="1" applyBorder="1"/>
    <xf numFmtId="2" fontId="0" fillId="0" borderId="16" xfId="0" applyNumberFormat="1" applyBorder="1"/>
    <xf numFmtId="0" fontId="0" fillId="0" borderId="16" xfId="0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16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0" fillId="5" borderId="0" xfId="0" applyFill="1"/>
    <xf numFmtId="0" fontId="1" fillId="5" borderId="0" xfId="0" applyFont="1" applyFill="1"/>
    <xf numFmtId="0" fontId="0" fillId="5" borderId="8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87631</xdr:rowOff>
    </xdr:from>
    <xdr:to>
      <xdr:col>6</xdr:col>
      <xdr:colOff>523875</xdr:colOff>
      <xdr:row>1</xdr:row>
      <xdr:rowOff>133350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419600" y="287656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66675</xdr:colOff>
      <xdr:row>1</xdr:row>
      <xdr:rowOff>76200</xdr:rowOff>
    </xdr:from>
    <xdr:to>
      <xdr:col>10</xdr:col>
      <xdr:colOff>514350</xdr:colOff>
      <xdr:row>1</xdr:row>
      <xdr:rowOff>121919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34250" y="276225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85725</xdr:colOff>
      <xdr:row>1</xdr:row>
      <xdr:rowOff>76200</xdr:rowOff>
    </xdr:from>
    <xdr:to>
      <xdr:col>14</xdr:col>
      <xdr:colOff>533400</xdr:colOff>
      <xdr:row>1</xdr:row>
      <xdr:rowOff>121919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477500" y="276225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1</xdr:row>
      <xdr:rowOff>85725</xdr:rowOff>
    </xdr:from>
    <xdr:to>
      <xdr:col>18</xdr:col>
      <xdr:colOff>533400</xdr:colOff>
      <xdr:row>1</xdr:row>
      <xdr:rowOff>131444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3944600" y="285750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104775</xdr:colOff>
      <xdr:row>1</xdr:row>
      <xdr:rowOff>95250</xdr:rowOff>
    </xdr:from>
    <xdr:to>
      <xdr:col>19</xdr:col>
      <xdr:colOff>552450</xdr:colOff>
      <xdr:row>1</xdr:row>
      <xdr:rowOff>140969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830425" y="295275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104775</xdr:colOff>
      <xdr:row>1</xdr:row>
      <xdr:rowOff>104775</xdr:rowOff>
    </xdr:from>
    <xdr:to>
      <xdr:col>20</xdr:col>
      <xdr:colOff>552450</xdr:colOff>
      <xdr:row>1</xdr:row>
      <xdr:rowOff>150494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5440025" y="304800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1</xdr:row>
      <xdr:rowOff>95250</xdr:rowOff>
    </xdr:from>
    <xdr:to>
      <xdr:col>21</xdr:col>
      <xdr:colOff>571500</xdr:colOff>
      <xdr:row>1</xdr:row>
      <xdr:rowOff>140969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6068675" y="295275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85725</xdr:colOff>
      <xdr:row>1</xdr:row>
      <xdr:rowOff>76200</xdr:rowOff>
    </xdr:from>
    <xdr:to>
      <xdr:col>1</xdr:col>
      <xdr:colOff>533400</xdr:colOff>
      <xdr:row>1</xdr:row>
      <xdr:rowOff>121919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95325" y="276225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76200</xdr:colOff>
      <xdr:row>1</xdr:row>
      <xdr:rowOff>76200</xdr:rowOff>
    </xdr:from>
    <xdr:to>
      <xdr:col>0</xdr:col>
      <xdr:colOff>523875</xdr:colOff>
      <xdr:row>1</xdr:row>
      <xdr:rowOff>121919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76200" y="276225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638175</xdr:colOff>
      <xdr:row>1</xdr:row>
      <xdr:rowOff>85725</xdr:rowOff>
    </xdr:from>
    <xdr:to>
      <xdr:col>26</xdr:col>
      <xdr:colOff>1085850</xdr:colOff>
      <xdr:row>1</xdr:row>
      <xdr:rowOff>131444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9726275" y="285750"/>
          <a:ext cx="44767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7"/>
  <sheetViews>
    <sheetView tabSelected="1" topLeftCell="F22" workbookViewId="0">
      <selection activeCell="P47" sqref="P47"/>
    </sheetView>
  </sheetViews>
  <sheetFormatPr defaultRowHeight="14.4" x14ac:dyDescent="0.3"/>
  <cols>
    <col min="3" max="3" width="9.109375" style="14"/>
    <col min="4" max="4" width="12.88671875" style="14" bestFit="1" customWidth="1"/>
    <col min="5" max="5" width="9.109375" style="14"/>
    <col min="6" max="6" width="15.6640625" style="14" customWidth="1"/>
    <col min="8" max="8" width="9.88671875" customWidth="1"/>
    <col min="9" max="9" width="7.44140625" bestFit="1" customWidth="1"/>
    <col min="10" max="10" width="17.44140625" bestFit="1" customWidth="1"/>
    <col min="13" max="13" width="12.88671875" bestFit="1" customWidth="1"/>
    <col min="14" max="14" width="15.6640625" customWidth="1"/>
    <col min="16" max="16" width="24.5546875" bestFit="1" customWidth="1"/>
    <col min="17" max="17" width="10.6640625" bestFit="1" customWidth="1"/>
    <col min="18" max="18" width="11.44140625" bestFit="1" customWidth="1"/>
    <col min="23" max="23" width="4.6640625" bestFit="1" customWidth="1"/>
    <col min="25" max="25" width="10.6640625" bestFit="1" customWidth="1"/>
    <col min="26" max="26" width="13.44140625" customWidth="1"/>
    <col min="27" max="27" width="20.88671875" customWidth="1"/>
    <col min="28" max="28" width="4.6640625" bestFit="1" customWidth="1"/>
    <col min="29" max="29" width="10.88671875" customWidth="1"/>
    <col min="30" max="30" width="10.6640625" bestFit="1" customWidth="1"/>
    <col min="31" max="31" width="22.33203125" bestFit="1" customWidth="1"/>
    <col min="32" max="34" width="9.109375"/>
  </cols>
  <sheetData>
    <row r="1" spans="1:39" ht="15" thickBot="1" x14ac:dyDescent="0.35">
      <c r="C1" s="13" t="s">
        <v>0</v>
      </c>
      <c r="D1" s="13" t="s">
        <v>1</v>
      </c>
      <c r="E1" s="13" t="s">
        <v>2</v>
      </c>
      <c r="F1" s="13" t="s">
        <v>179</v>
      </c>
      <c r="L1" s="10" t="s">
        <v>0</v>
      </c>
      <c r="M1" s="11" t="s">
        <v>1</v>
      </c>
      <c r="N1" s="12" t="s">
        <v>179</v>
      </c>
      <c r="W1" s="13" t="s">
        <v>0</v>
      </c>
      <c r="X1" s="13" t="s">
        <v>1</v>
      </c>
      <c r="Y1" s="13" t="s">
        <v>180</v>
      </c>
      <c r="Z1" s="13" t="s">
        <v>201</v>
      </c>
      <c r="AB1" s="13" t="s">
        <v>0</v>
      </c>
      <c r="AC1" s="13" t="s">
        <v>1</v>
      </c>
      <c r="AD1" s="13" t="s">
        <v>180</v>
      </c>
      <c r="AE1" s="13" t="s">
        <v>202</v>
      </c>
      <c r="AF1" s="1"/>
      <c r="AG1" s="1"/>
      <c r="AH1" s="1"/>
      <c r="AI1" s="1"/>
    </row>
    <row r="2" spans="1:39" x14ac:dyDescent="0.3">
      <c r="C2" s="14">
        <v>1</v>
      </c>
      <c r="D2" s="14" t="s">
        <v>3</v>
      </c>
      <c r="E2" s="14">
        <v>0.95099999999999996</v>
      </c>
      <c r="F2" s="14">
        <f>MIN(J10,J17/3)</f>
        <v>13</v>
      </c>
      <c r="H2" s="2" t="s">
        <v>136</v>
      </c>
      <c r="I2" s="3"/>
      <c r="J2" s="4"/>
      <c r="L2" s="15">
        <v>1</v>
      </c>
      <c r="M2" s="16" t="s">
        <v>67</v>
      </c>
      <c r="N2" s="17">
        <v>25.333333333333332</v>
      </c>
      <c r="P2" s="1" t="s">
        <v>181</v>
      </c>
      <c r="W2" s="14">
        <v>1</v>
      </c>
      <c r="X2" s="14" t="s">
        <v>67</v>
      </c>
      <c r="Y2" s="14">
        <v>25.333333333333332</v>
      </c>
      <c r="Z2" s="14" t="s">
        <v>196</v>
      </c>
      <c r="AB2" s="14">
        <v>1</v>
      </c>
      <c r="AC2" s="14" t="s">
        <v>9</v>
      </c>
      <c r="AD2" s="14">
        <v>0.25</v>
      </c>
      <c r="AE2" s="14" t="s">
        <v>198</v>
      </c>
    </row>
    <row r="3" spans="1:39" x14ac:dyDescent="0.3">
      <c r="A3" s="1" t="s">
        <v>109</v>
      </c>
      <c r="C3" s="14">
        <v>2</v>
      </c>
      <c r="D3" s="14" t="s">
        <v>4</v>
      </c>
      <c r="E3" s="14">
        <v>0.96599999999999997</v>
      </c>
      <c r="F3" s="14">
        <v>13</v>
      </c>
      <c r="H3" s="5"/>
      <c r="J3" s="6"/>
      <c r="L3" s="15">
        <v>2</v>
      </c>
      <c r="M3" s="16" t="s">
        <v>68</v>
      </c>
      <c r="N3" s="17">
        <v>25.3</v>
      </c>
      <c r="P3" s="1" t="s">
        <v>182</v>
      </c>
      <c r="W3" s="14">
        <v>2</v>
      </c>
      <c r="X3" s="14" t="s">
        <v>68</v>
      </c>
      <c r="Y3" s="14">
        <v>25.3</v>
      </c>
      <c r="Z3" s="14" t="s">
        <v>196</v>
      </c>
      <c r="AB3" s="14">
        <v>2</v>
      </c>
      <c r="AC3" s="14" t="s">
        <v>10</v>
      </c>
      <c r="AD3" s="14">
        <v>0.25</v>
      </c>
      <c r="AE3" s="14" t="s">
        <v>198</v>
      </c>
    </row>
    <row r="4" spans="1:39" x14ac:dyDescent="0.3">
      <c r="A4" s="1" t="s">
        <v>110</v>
      </c>
      <c r="C4" s="14">
        <v>3</v>
      </c>
      <c r="D4" s="14" t="s">
        <v>5</v>
      </c>
      <c r="E4" s="14">
        <v>0.99399999999999999</v>
      </c>
      <c r="F4" s="14">
        <v>13</v>
      </c>
      <c r="H4" s="7" t="s">
        <v>115</v>
      </c>
      <c r="J4" s="6"/>
      <c r="L4" s="15">
        <v>3</v>
      </c>
      <c r="M4" s="16" t="s">
        <v>69</v>
      </c>
      <c r="N4" s="17">
        <v>25.3</v>
      </c>
      <c r="P4" s="7" t="s">
        <v>192</v>
      </c>
      <c r="W4" s="14">
        <v>3</v>
      </c>
      <c r="X4" s="14" t="s">
        <v>69</v>
      </c>
      <c r="Y4" s="14">
        <v>25.3</v>
      </c>
      <c r="Z4" s="14" t="s">
        <v>196</v>
      </c>
      <c r="AB4" s="14">
        <v>3</v>
      </c>
      <c r="AC4" s="14" t="s">
        <v>11</v>
      </c>
      <c r="AD4" s="14">
        <v>0.25</v>
      </c>
      <c r="AE4" s="14" t="s">
        <v>198</v>
      </c>
    </row>
    <row r="5" spans="1:39" x14ac:dyDescent="0.3">
      <c r="A5" s="1" t="s">
        <v>111</v>
      </c>
      <c r="C5" s="14">
        <v>4</v>
      </c>
      <c r="D5" s="14" t="s">
        <v>6</v>
      </c>
      <c r="E5" s="14">
        <v>1.085</v>
      </c>
      <c r="F5" s="14">
        <v>13</v>
      </c>
      <c r="H5" s="13" t="s">
        <v>1</v>
      </c>
      <c r="I5" s="13" t="s">
        <v>116</v>
      </c>
      <c r="J5" s="13" t="s">
        <v>137</v>
      </c>
      <c r="K5" s="1"/>
      <c r="L5" s="15">
        <v>4</v>
      </c>
      <c r="M5" s="16" t="s">
        <v>3</v>
      </c>
      <c r="N5" s="17">
        <v>13</v>
      </c>
      <c r="P5" s="1"/>
      <c r="V5" s="1"/>
      <c r="W5" s="14">
        <v>4</v>
      </c>
      <c r="X5" s="14" t="s">
        <v>3</v>
      </c>
      <c r="Y5" s="14">
        <v>13</v>
      </c>
      <c r="Z5" s="14" t="s">
        <v>197</v>
      </c>
      <c r="AB5" s="14">
        <v>4</v>
      </c>
      <c r="AC5" s="14" t="s">
        <v>12</v>
      </c>
      <c r="AD5" s="14">
        <v>0.25</v>
      </c>
      <c r="AE5" s="14" t="s">
        <v>198</v>
      </c>
    </row>
    <row r="6" spans="1:39" x14ac:dyDescent="0.3">
      <c r="A6" s="1" t="s">
        <v>112</v>
      </c>
      <c r="C6" s="14">
        <v>5</v>
      </c>
      <c r="D6" s="14" t="s">
        <v>7</v>
      </c>
      <c r="E6" s="14">
        <v>1.0920000000000001</v>
      </c>
      <c r="F6" s="14">
        <v>13</v>
      </c>
      <c r="H6" s="14" t="s">
        <v>140</v>
      </c>
      <c r="I6" s="14" t="s">
        <v>114</v>
      </c>
      <c r="J6" s="14">
        <v>17100</v>
      </c>
      <c r="L6" s="15">
        <v>5</v>
      </c>
      <c r="M6" s="16" t="s">
        <v>4</v>
      </c>
      <c r="N6" s="17">
        <v>13</v>
      </c>
      <c r="P6" s="1"/>
      <c r="W6" s="14">
        <v>5</v>
      </c>
      <c r="X6" s="14" t="s">
        <v>4</v>
      </c>
      <c r="Y6" s="14">
        <v>13</v>
      </c>
      <c r="Z6" s="14" t="s">
        <v>197</v>
      </c>
      <c r="AB6" s="14">
        <v>5</v>
      </c>
      <c r="AC6" s="14" t="s">
        <v>45</v>
      </c>
      <c r="AD6" s="14">
        <v>0.23</v>
      </c>
      <c r="AE6" s="14" t="s">
        <v>199</v>
      </c>
      <c r="AM6" s="1"/>
    </row>
    <row r="7" spans="1:39" x14ac:dyDescent="0.3">
      <c r="C7" s="14">
        <v>6</v>
      </c>
      <c r="D7" s="14" t="s">
        <v>8</v>
      </c>
      <c r="E7" s="14">
        <v>1.1020000000000001</v>
      </c>
      <c r="F7" s="14">
        <v>13</v>
      </c>
      <c r="H7" s="14" t="s">
        <v>141</v>
      </c>
      <c r="I7" s="14" t="s">
        <v>113</v>
      </c>
      <c r="J7" s="14">
        <v>7</v>
      </c>
      <c r="L7" s="15">
        <v>6</v>
      </c>
      <c r="M7" s="16" t="s">
        <v>5</v>
      </c>
      <c r="N7" s="17">
        <v>13</v>
      </c>
      <c r="P7" s="1"/>
      <c r="W7" s="14">
        <v>6</v>
      </c>
      <c r="X7" s="14" t="s">
        <v>5</v>
      </c>
      <c r="Y7" s="14">
        <v>13</v>
      </c>
      <c r="Z7" s="14" t="s">
        <v>197</v>
      </c>
      <c r="AB7" s="14">
        <v>6</v>
      </c>
      <c r="AC7" s="14" t="s">
        <v>46</v>
      </c>
      <c r="AD7" s="14">
        <v>0.23</v>
      </c>
      <c r="AE7" s="14" t="s">
        <v>199</v>
      </c>
    </row>
    <row r="8" spans="1:39" x14ac:dyDescent="0.3">
      <c r="C8" s="14">
        <v>7</v>
      </c>
      <c r="D8" s="14" t="s">
        <v>9</v>
      </c>
      <c r="E8" s="14">
        <v>0.95499999999999996</v>
      </c>
      <c r="F8" s="14">
        <f>MIN(J8,(J17/3))</f>
        <v>0.25</v>
      </c>
      <c r="H8" s="14" t="s">
        <v>117</v>
      </c>
      <c r="I8" s="14" t="s">
        <v>118</v>
      </c>
      <c r="J8" s="14">
        <v>0.25</v>
      </c>
      <c r="L8" s="15">
        <v>7</v>
      </c>
      <c r="M8" s="16" t="s">
        <v>6</v>
      </c>
      <c r="N8" s="17">
        <v>13</v>
      </c>
      <c r="P8" s="13" t="s">
        <v>1</v>
      </c>
      <c r="Q8" s="13" t="s">
        <v>116</v>
      </c>
      <c r="R8" s="13" t="s">
        <v>183</v>
      </c>
      <c r="S8" s="13" t="s">
        <v>193</v>
      </c>
      <c r="T8" s="13" t="s">
        <v>194</v>
      </c>
      <c r="U8" s="13" t="s">
        <v>195</v>
      </c>
      <c r="W8" s="14">
        <v>7</v>
      </c>
      <c r="X8" s="14" t="s">
        <v>6</v>
      </c>
      <c r="Y8" s="14">
        <v>13</v>
      </c>
      <c r="Z8" s="14" t="s">
        <v>197</v>
      </c>
      <c r="AB8" s="14">
        <v>7</v>
      </c>
      <c r="AC8" s="14" t="s">
        <v>66</v>
      </c>
      <c r="AD8" s="14">
        <v>0.23</v>
      </c>
      <c r="AE8" s="14" t="s">
        <v>199</v>
      </c>
    </row>
    <row r="9" spans="1:39" x14ac:dyDescent="0.3">
      <c r="C9" s="14">
        <v>8</v>
      </c>
      <c r="D9" s="14" t="s">
        <v>10</v>
      </c>
      <c r="E9" s="14">
        <v>0.96899999999999997</v>
      </c>
      <c r="F9" s="14">
        <v>0.25</v>
      </c>
      <c r="H9" s="14" t="s">
        <v>125</v>
      </c>
      <c r="I9" s="14" t="s">
        <v>119</v>
      </c>
      <c r="J9" s="14">
        <v>0.23</v>
      </c>
      <c r="L9" s="15">
        <v>8</v>
      </c>
      <c r="M9" s="16" t="s">
        <v>7</v>
      </c>
      <c r="N9" s="17">
        <v>13</v>
      </c>
      <c r="P9" s="14" t="s">
        <v>140</v>
      </c>
      <c r="Q9" s="14" t="s">
        <v>114</v>
      </c>
      <c r="R9" s="14">
        <v>1</v>
      </c>
      <c r="S9" s="14">
        <v>0.92</v>
      </c>
      <c r="T9" s="14">
        <v>0.91</v>
      </c>
      <c r="U9" s="14">
        <v>0.92</v>
      </c>
      <c r="W9" s="14">
        <v>8</v>
      </c>
      <c r="X9" s="14" t="s">
        <v>7</v>
      </c>
      <c r="Y9" s="14">
        <v>13</v>
      </c>
      <c r="Z9" s="14" t="s">
        <v>197</v>
      </c>
      <c r="AB9" s="14">
        <v>8</v>
      </c>
      <c r="AC9" s="14" t="s">
        <v>20</v>
      </c>
      <c r="AD9" s="14">
        <v>0.1</v>
      </c>
      <c r="AE9" s="14" t="s">
        <v>198</v>
      </c>
    </row>
    <row r="10" spans="1:39" x14ac:dyDescent="0.3">
      <c r="C10" s="14">
        <v>9</v>
      </c>
      <c r="D10" s="14" t="s">
        <v>11</v>
      </c>
      <c r="E10" s="14">
        <v>1.089</v>
      </c>
      <c r="F10" s="14">
        <v>0.25</v>
      </c>
      <c r="H10" s="14" t="s">
        <v>126</v>
      </c>
      <c r="I10" s="14" t="s">
        <v>120</v>
      </c>
      <c r="J10" s="14">
        <v>13</v>
      </c>
      <c r="L10" s="15">
        <v>9</v>
      </c>
      <c r="M10" s="16" t="s">
        <v>8</v>
      </c>
      <c r="N10" s="17">
        <v>13</v>
      </c>
      <c r="P10" s="14" t="s">
        <v>117</v>
      </c>
      <c r="Q10" s="14" t="s">
        <v>118</v>
      </c>
      <c r="R10" s="14">
        <v>1.96</v>
      </c>
      <c r="S10" s="14">
        <v>1.1499999999999999</v>
      </c>
      <c r="T10" s="14">
        <v>1.1499999999999999</v>
      </c>
      <c r="U10" s="14">
        <v>0.97</v>
      </c>
      <c r="W10" s="14">
        <v>9</v>
      </c>
      <c r="X10" s="14" t="s">
        <v>8</v>
      </c>
      <c r="Y10" s="14">
        <v>13</v>
      </c>
      <c r="Z10" s="14" t="s">
        <v>197</v>
      </c>
      <c r="AB10" s="14">
        <v>9</v>
      </c>
      <c r="AC10" s="14" t="s">
        <v>21</v>
      </c>
      <c r="AD10" s="14">
        <v>0.1</v>
      </c>
      <c r="AE10" s="14" t="s">
        <v>198</v>
      </c>
    </row>
    <row r="11" spans="1:39" x14ac:dyDescent="0.3">
      <c r="C11" s="14">
        <v>10</v>
      </c>
      <c r="D11" s="14" t="s">
        <v>12</v>
      </c>
      <c r="E11" s="14">
        <v>1.105</v>
      </c>
      <c r="F11" s="14">
        <v>0.25</v>
      </c>
      <c r="H11" s="14" t="s">
        <v>138</v>
      </c>
      <c r="I11" s="14" t="s">
        <v>121</v>
      </c>
      <c r="J11" s="14">
        <v>0.05</v>
      </c>
      <c r="L11" s="15">
        <v>10</v>
      </c>
      <c r="M11" s="16" t="s">
        <v>79</v>
      </c>
      <c r="N11" s="17">
        <v>0.9</v>
      </c>
      <c r="P11" s="14" t="s">
        <v>125</v>
      </c>
      <c r="Q11" s="14" t="s">
        <v>119</v>
      </c>
      <c r="R11" s="14">
        <v>1.8</v>
      </c>
      <c r="S11" s="14">
        <v>0.99</v>
      </c>
      <c r="T11" s="14">
        <v>0.98</v>
      </c>
      <c r="U11" s="14">
        <v>1.03</v>
      </c>
      <c r="W11" s="14">
        <v>10</v>
      </c>
      <c r="X11" s="14" t="s">
        <v>79</v>
      </c>
      <c r="Y11" s="14">
        <v>0.9</v>
      </c>
      <c r="Z11" s="14" t="s">
        <v>196</v>
      </c>
      <c r="AB11" s="14">
        <v>10</v>
      </c>
      <c r="AC11" s="14" t="s">
        <v>22</v>
      </c>
      <c r="AD11" s="14">
        <v>0.1</v>
      </c>
      <c r="AE11" s="14" t="s">
        <v>198</v>
      </c>
    </row>
    <row r="12" spans="1:39" x14ac:dyDescent="0.3">
      <c r="C12" s="14">
        <v>11</v>
      </c>
      <c r="D12" s="14" t="s">
        <v>13</v>
      </c>
      <c r="E12" s="14">
        <v>0.94299999999999995</v>
      </c>
      <c r="F12" s="14">
        <f>MIN(J10,(J18/3))</f>
        <v>9.9999999999999992E-2</v>
      </c>
      <c r="H12" s="14" t="s">
        <v>127</v>
      </c>
      <c r="I12" s="14" t="s">
        <v>122</v>
      </c>
      <c r="J12" s="14">
        <v>0.27</v>
      </c>
      <c r="L12" s="15">
        <v>11</v>
      </c>
      <c r="M12" s="16" t="s">
        <v>80</v>
      </c>
      <c r="N12" s="17">
        <v>0.9</v>
      </c>
      <c r="P12" s="14" t="s">
        <v>126</v>
      </c>
      <c r="Q12" s="14" t="s">
        <v>120</v>
      </c>
      <c r="R12" s="14">
        <v>0.95</v>
      </c>
      <c r="S12" s="14">
        <v>1.1599999999999999</v>
      </c>
      <c r="T12" s="14">
        <v>1.1599999999999999</v>
      </c>
      <c r="U12" s="14">
        <v>1.18</v>
      </c>
      <c r="W12" s="14">
        <v>11</v>
      </c>
      <c r="X12" s="14" t="s">
        <v>80</v>
      </c>
      <c r="Y12" s="14">
        <v>0.9</v>
      </c>
      <c r="Z12" s="14" t="s">
        <v>196</v>
      </c>
      <c r="AB12" s="14">
        <v>11</v>
      </c>
      <c r="AC12" s="14" t="s">
        <v>23</v>
      </c>
      <c r="AD12" s="14">
        <v>0.1</v>
      </c>
      <c r="AE12" s="14" t="s">
        <v>198</v>
      </c>
    </row>
    <row r="13" spans="1:39" x14ac:dyDescent="0.3">
      <c r="C13" s="14">
        <v>12</v>
      </c>
      <c r="D13" s="14" t="s">
        <v>14</v>
      </c>
      <c r="E13" s="14">
        <v>0.95599999999999996</v>
      </c>
      <c r="F13" s="14">
        <v>0.1</v>
      </c>
      <c r="H13" s="14" t="s">
        <v>139</v>
      </c>
      <c r="I13" s="14" t="s">
        <v>123</v>
      </c>
      <c r="J13" s="14">
        <v>0.3</v>
      </c>
      <c r="L13" s="15">
        <v>12</v>
      </c>
      <c r="M13" s="16" t="s">
        <v>81</v>
      </c>
      <c r="N13" s="17">
        <v>0.9</v>
      </c>
      <c r="P13" s="5"/>
      <c r="W13" s="14">
        <v>12</v>
      </c>
      <c r="X13" s="14" t="s">
        <v>81</v>
      </c>
      <c r="Y13" s="14">
        <v>0.9</v>
      </c>
      <c r="Z13" s="14" t="s">
        <v>196</v>
      </c>
      <c r="AB13" s="14">
        <v>12</v>
      </c>
      <c r="AC13" s="14" t="s">
        <v>24</v>
      </c>
      <c r="AD13" s="14">
        <v>0.1</v>
      </c>
      <c r="AE13" s="14" t="s">
        <v>198</v>
      </c>
    </row>
    <row r="14" spans="1:39" x14ac:dyDescent="0.3">
      <c r="C14" s="14">
        <v>13</v>
      </c>
      <c r="D14" s="14" t="s">
        <v>15</v>
      </c>
      <c r="E14" s="14">
        <v>0.98399999999999999</v>
      </c>
      <c r="F14" s="14">
        <v>0.1</v>
      </c>
      <c r="H14" s="14" t="s">
        <v>128</v>
      </c>
      <c r="I14" s="14" t="s">
        <v>124</v>
      </c>
      <c r="J14" s="14">
        <v>0.46</v>
      </c>
      <c r="L14" s="15">
        <v>13</v>
      </c>
      <c r="M14" s="16" t="s">
        <v>78</v>
      </c>
      <c r="N14" s="17">
        <v>0.89999999999999991</v>
      </c>
      <c r="P14" s="7" t="s">
        <v>129</v>
      </c>
      <c r="S14" s="13" t="s">
        <v>191</v>
      </c>
      <c r="W14" s="14">
        <v>13</v>
      </c>
      <c r="X14" s="14" t="s">
        <v>78</v>
      </c>
      <c r="Y14" s="14">
        <v>0.89999999999999991</v>
      </c>
      <c r="Z14" s="14" t="s">
        <v>196</v>
      </c>
      <c r="AB14" s="14">
        <v>13</v>
      </c>
      <c r="AC14" s="14" t="s">
        <v>25</v>
      </c>
      <c r="AD14" s="14">
        <v>0.1</v>
      </c>
      <c r="AE14" s="14" t="s">
        <v>198</v>
      </c>
    </row>
    <row r="15" spans="1:39" x14ac:dyDescent="0.3">
      <c r="C15" s="14">
        <v>14</v>
      </c>
      <c r="D15" s="14" t="s">
        <v>16</v>
      </c>
      <c r="E15" s="14">
        <v>1.071</v>
      </c>
      <c r="F15" s="14">
        <v>0.1</v>
      </c>
      <c r="H15" s="5"/>
      <c r="J15" s="6"/>
      <c r="L15" s="5">
        <v>14</v>
      </c>
      <c r="M15" t="s">
        <v>26</v>
      </c>
      <c r="N15" s="6">
        <v>0.46</v>
      </c>
      <c r="P15" s="14" t="s">
        <v>130</v>
      </c>
      <c r="Q15" s="14" t="s">
        <v>133</v>
      </c>
      <c r="R15" s="14">
        <v>3.16</v>
      </c>
      <c r="S15" s="14">
        <v>1.85</v>
      </c>
      <c r="W15" s="18">
        <v>14</v>
      </c>
      <c r="X15" s="18" t="s">
        <v>9</v>
      </c>
      <c r="Y15" s="18">
        <v>0.25</v>
      </c>
      <c r="Z15" s="18" t="s">
        <v>198</v>
      </c>
      <c r="AB15" s="14">
        <v>14</v>
      </c>
      <c r="AC15" s="14" t="s">
        <v>73</v>
      </c>
      <c r="AD15" s="14">
        <v>1.6666666666666666E-2</v>
      </c>
      <c r="AE15" s="14" t="s">
        <v>200</v>
      </c>
    </row>
    <row r="16" spans="1:39" x14ac:dyDescent="0.3">
      <c r="C16" s="14">
        <v>15</v>
      </c>
      <c r="D16" s="14" t="s">
        <v>17</v>
      </c>
      <c r="E16" s="14">
        <v>1.079</v>
      </c>
      <c r="F16" s="14">
        <v>0.1</v>
      </c>
      <c r="H16" s="7" t="s">
        <v>129</v>
      </c>
      <c r="J16" s="6"/>
      <c r="L16" s="5">
        <v>15</v>
      </c>
      <c r="M16" t="s">
        <v>27</v>
      </c>
      <c r="N16" s="6">
        <v>0.46</v>
      </c>
      <c r="P16" s="14" t="s">
        <v>131</v>
      </c>
      <c r="Q16" s="14" t="s">
        <v>134</v>
      </c>
      <c r="R16" s="14">
        <v>2.96</v>
      </c>
      <c r="S16" s="14">
        <v>1.96</v>
      </c>
      <c r="W16" s="18">
        <v>15</v>
      </c>
      <c r="X16" s="18" t="s">
        <v>10</v>
      </c>
      <c r="Y16" s="18">
        <v>0.25</v>
      </c>
      <c r="Z16" s="18" t="s">
        <v>198</v>
      </c>
    </row>
    <row r="17" spans="3:29" x14ac:dyDescent="0.3">
      <c r="C17" s="14">
        <v>16</v>
      </c>
      <c r="D17" s="14" t="s">
        <v>18</v>
      </c>
      <c r="E17" s="14">
        <v>1.0880000000000001</v>
      </c>
      <c r="F17" s="14">
        <v>0.1</v>
      </c>
      <c r="H17" s="14" t="s">
        <v>130</v>
      </c>
      <c r="I17" s="14" t="s">
        <v>133</v>
      </c>
      <c r="J17" s="14">
        <v>76</v>
      </c>
      <c r="L17" s="5">
        <v>16</v>
      </c>
      <c r="M17" t="s">
        <v>28</v>
      </c>
      <c r="N17" s="6">
        <v>0.46</v>
      </c>
      <c r="P17" s="14" t="s">
        <v>132</v>
      </c>
      <c r="Q17" s="14" t="s">
        <v>135</v>
      </c>
      <c r="R17" s="14">
        <v>2.66</v>
      </c>
      <c r="S17" s="14">
        <v>2.2000000000000002</v>
      </c>
      <c r="V17" s="1"/>
      <c r="W17" s="18">
        <v>16</v>
      </c>
      <c r="X17" s="18" t="s">
        <v>11</v>
      </c>
      <c r="Y17" s="18">
        <v>0.25</v>
      </c>
      <c r="Z17" s="18" t="s">
        <v>198</v>
      </c>
      <c r="AB17" s="1"/>
    </row>
    <row r="18" spans="3:29" x14ac:dyDescent="0.3">
      <c r="C18" s="14">
        <v>17</v>
      </c>
      <c r="D18" s="14" t="s">
        <v>19</v>
      </c>
      <c r="E18" s="14">
        <v>1.115</v>
      </c>
      <c r="F18" s="14">
        <v>0.1</v>
      </c>
      <c r="H18" s="14" t="s">
        <v>131</v>
      </c>
      <c r="I18" s="14" t="s">
        <v>134</v>
      </c>
      <c r="J18" s="14">
        <v>0.3</v>
      </c>
      <c r="L18" s="5">
        <v>17</v>
      </c>
      <c r="M18" t="s">
        <v>29</v>
      </c>
      <c r="N18" s="6">
        <v>0.46</v>
      </c>
      <c r="P18" s="5"/>
      <c r="W18" s="18">
        <v>17</v>
      </c>
      <c r="X18" s="18" t="s">
        <v>12</v>
      </c>
      <c r="Y18" s="18">
        <v>0.25</v>
      </c>
      <c r="Z18" s="18" t="s">
        <v>198</v>
      </c>
    </row>
    <row r="19" spans="3:29" x14ac:dyDescent="0.3">
      <c r="C19" s="14">
        <v>18</v>
      </c>
      <c r="D19" s="14" t="s">
        <v>20</v>
      </c>
      <c r="E19" s="14">
        <v>0.94599999999999995</v>
      </c>
      <c r="F19" s="14">
        <v>0.1</v>
      </c>
      <c r="H19" s="14" t="s">
        <v>132</v>
      </c>
      <c r="I19" s="14" t="s">
        <v>135</v>
      </c>
      <c r="J19" s="14">
        <v>0.05</v>
      </c>
      <c r="L19" s="5">
        <v>18</v>
      </c>
      <c r="M19" t="s">
        <v>74</v>
      </c>
      <c r="N19" s="6">
        <v>0.3</v>
      </c>
      <c r="P19" s="7" t="s">
        <v>142</v>
      </c>
      <c r="Q19" s="1"/>
      <c r="R19" s="1"/>
      <c r="W19" s="18">
        <v>18</v>
      </c>
      <c r="X19" s="18" t="s">
        <v>45</v>
      </c>
      <c r="Y19" s="18">
        <v>0.23</v>
      </c>
      <c r="Z19" s="18" t="s">
        <v>199</v>
      </c>
    </row>
    <row r="20" spans="3:29" x14ac:dyDescent="0.3">
      <c r="C20" s="14">
        <v>19</v>
      </c>
      <c r="D20" s="14" t="s">
        <v>21</v>
      </c>
      <c r="E20" s="14">
        <v>0.95899999999999996</v>
      </c>
      <c r="F20" s="14">
        <v>0.1</v>
      </c>
      <c r="H20" s="5"/>
      <c r="J20" s="6"/>
      <c r="L20" s="5">
        <v>19</v>
      </c>
      <c r="M20" t="s">
        <v>75</v>
      </c>
      <c r="N20" s="6">
        <v>0.3</v>
      </c>
      <c r="P20" s="13" t="s">
        <v>184</v>
      </c>
      <c r="Q20" s="13"/>
      <c r="R20" s="13" t="s">
        <v>183</v>
      </c>
      <c r="S20" s="1"/>
      <c r="T20" s="1"/>
      <c r="U20" s="1"/>
      <c r="W20" s="18">
        <v>19</v>
      </c>
      <c r="X20" s="18" t="s">
        <v>46</v>
      </c>
      <c r="Y20" s="18">
        <v>0.23</v>
      </c>
      <c r="Z20" s="18" t="s">
        <v>199</v>
      </c>
    </row>
    <row r="21" spans="3:29" x14ac:dyDescent="0.3">
      <c r="C21" s="14">
        <v>20</v>
      </c>
      <c r="D21" s="14" t="s">
        <v>22</v>
      </c>
      <c r="E21" s="14">
        <v>1.075</v>
      </c>
      <c r="F21" s="14">
        <v>0.1</v>
      </c>
      <c r="H21" s="7" t="s">
        <v>142</v>
      </c>
      <c r="I21" s="1"/>
      <c r="J21" s="6"/>
      <c r="L21" s="5">
        <v>20</v>
      </c>
      <c r="M21" t="s">
        <v>76</v>
      </c>
      <c r="N21" s="6">
        <v>0.3</v>
      </c>
      <c r="P21" s="14" t="s">
        <v>185</v>
      </c>
      <c r="Q21" s="14"/>
      <c r="R21" s="14">
        <v>3.04</v>
      </c>
      <c r="W21" s="18">
        <v>20</v>
      </c>
      <c r="X21" s="18" t="s">
        <v>66</v>
      </c>
      <c r="Y21" s="18">
        <v>0.23</v>
      </c>
      <c r="Z21" s="18" t="s">
        <v>199</v>
      </c>
    </row>
    <row r="22" spans="3:29" x14ac:dyDescent="0.3">
      <c r="C22" s="14">
        <v>21</v>
      </c>
      <c r="D22" s="14" t="s">
        <v>23</v>
      </c>
      <c r="E22" s="14">
        <v>1.0820000000000001</v>
      </c>
      <c r="F22" s="14">
        <v>0.1</v>
      </c>
      <c r="H22" s="7" t="s">
        <v>178</v>
      </c>
      <c r="I22" s="1"/>
      <c r="J22" s="6"/>
      <c r="L22" s="5">
        <v>21</v>
      </c>
      <c r="M22" t="s">
        <v>77</v>
      </c>
      <c r="N22" s="6">
        <v>0.3</v>
      </c>
      <c r="P22" s="14" t="s">
        <v>186</v>
      </c>
      <c r="Q22" s="14"/>
      <c r="R22" s="14">
        <v>2.5499999999999998</v>
      </c>
      <c r="V22" s="1"/>
      <c r="W22" s="14">
        <v>21</v>
      </c>
      <c r="X22" s="14" t="s">
        <v>14</v>
      </c>
      <c r="Y22" s="14">
        <v>0.1</v>
      </c>
      <c r="Z22" s="14" t="s">
        <v>197</v>
      </c>
      <c r="AB22" s="1"/>
      <c r="AC22" s="1"/>
    </row>
    <row r="23" spans="3:29" x14ac:dyDescent="0.3">
      <c r="C23" s="14">
        <v>22</v>
      </c>
      <c r="D23" s="14" t="s">
        <v>24</v>
      </c>
      <c r="E23" s="14">
        <v>1.091</v>
      </c>
      <c r="F23" s="14">
        <v>0.1</v>
      </c>
      <c r="H23" s="14" t="s">
        <v>143</v>
      </c>
      <c r="I23" s="14"/>
      <c r="J23" s="14" t="s">
        <v>161</v>
      </c>
      <c r="L23" s="5">
        <v>22</v>
      </c>
      <c r="M23" t="s">
        <v>82</v>
      </c>
      <c r="N23" s="6">
        <v>0.3</v>
      </c>
      <c r="P23" s="14" t="s">
        <v>190</v>
      </c>
      <c r="Q23" s="14"/>
      <c r="R23" s="14">
        <v>3.44</v>
      </c>
      <c r="W23" s="14">
        <v>22</v>
      </c>
      <c r="X23" s="14" t="s">
        <v>15</v>
      </c>
      <c r="Y23" s="14">
        <v>0.1</v>
      </c>
      <c r="Z23" s="14" t="s">
        <v>197</v>
      </c>
      <c r="AB23" s="1"/>
      <c r="AC23" s="1"/>
    </row>
    <row r="24" spans="3:29" x14ac:dyDescent="0.3">
      <c r="C24" s="14">
        <v>23</v>
      </c>
      <c r="D24" s="14" t="s">
        <v>25</v>
      </c>
      <c r="E24" s="14">
        <v>1.119</v>
      </c>
      <c r="F24" s="14">
        <v>0.1</v>
      </c>
      <c r="H24" s="14" t="s">
        <v>144</v>
      </c>
      <c r="I24" s="14"/>
      <c r="J24" s="14" t="s">
        <v>162</v>
      </c>
      <c r="L24" s="5">
        <v>23</v>
      </c>
      <c r="M24" t="s">
        <v>83</v>
      </c>
      <c r="N24" s="6">
        <v>0.3</v>
      </c>
      <c r="P24" s="5"/>
      <c r="T24" s="54"/>
      <c r="W24" s="14">
        <v>23</v>
      </c>
      <c r="X24" s="14" t="s">
        <v>16</v>
      </c>
      <c r="Y24" s="14">
        <v>0.1</v>
      </c>
      <c r="Z24" s="14" t="s">
        <v>197</v>
      </c>
    </row>
    <row r="25" spans="3:29" x14ac:dyDescent="0.3">
      <c r="C25" s="14">
        <v>24</v>
      </c>
      <c r="D25" s="14" t="s">
        <v>26</v>
      </c>
      <c r="E25" s="14">
        <v>0.98099999999999998</v>
      </c>
      <c r="F25" s="14">
        <f>MIN(J14,(J17/3))</f>
        <v>0.46</v>
      </c>
      <c r="H25" s="14" t="s">
        <v>145</v>
      </c>
      <c r="I25" s="14"/>
      <c r="J25" s="14" t="s">
        <v>163</v>
      </c>
      <c r="L25" s="5">
        <v>24</v>
      </c>
      <c r="M25" t="s">
        <v>84</v>
      </c>
      <c r="N25" s="6">
        <v>0.3</v>
      </c>
      <c r="P25" s="7" t="s">
        <v>187</v>
      </c>
      <c r="Q25" s="1"/>
      <c r="R25" s="1" t="s">
        <v>188</v>
      </c>
      <c r="S25" s="1" t="s">
        <v>189</v>
      </c>
      <c r="T25" s="55" t="s">
        <v>191</v>
      </c>
      <c r="U25" s="1"/>
      <c r="W25" s="14">
        <v>24</v>
      </c>
      <c r="X25" s="14" t="s">
        <v>17</v>
      </c>
      <c r="Y25" s="14">
        <v>0.1</v>
      </c>
      <c r="Z25" s="14" t="s">
        <v>197</v>
      </c>
    </row>
    <row r="26" spans="3:29" x14ac:dyDescent="0.3">
      <c r="C26" s="14">
        <v>25</v>
      </c>
      <c r="D26" s="14" t="s">
        <v>27</v>
      </c>
      <c r="E26" s="14">
        <v>0.995</v>
      </c>
      <c r="F26" s="14">
        <v>0.46</v>
      </c>
      <c r="H26" s="14" t="s">
        <v>146</v>
      </c>
      <c r="I26" s="14"/>
      <c r="J26" s="14" t="s">
        <v>164</v>
      </c>
      <c r="L26" s="5">
        <v>25</v>
      </c>
      <c r="M26" t="s">
        <v>85</v>
      </c>
      <c r="N26" s="6">
        <v>0.3</v>
      </c>
      <c r="P26" s="14" t="s">
        <v>143</v>
      </c>
      <c r="Q26" s="14" t="s">
        <v>161</v>
      </c>
      <c r="R26" s="14">
        <v>1</v>
      </c>
      <c r="S26" s="14">
        <v>0</v>
      </c>
      <c r="T26" s="56">
        <v>1.7</v>
      </c>
      <c r="W26" s="14">
        <v>25</v>
      </c>
      <c r="X26" s="14" t="s">
        <v>18</v>
      </c>
      <c r="Y26" s="14">
        <v>0.1</v>
      </c>
      <c r="Z26" s="14" t="s">
        <v>197</v>
      </c>
    </row>
    <row r="27" spans="3:29" x14ac:dyDescent="0.3">
      <c r="C27" s="14">
        <v>26</v>
      </c>
      <c r="D27" s="14" t="s">
        <v>28</v>
      </c>
      <c r="E27" s="14">
        <v>1.024</v>
      </c>
      <c r="F27" s="14">
        <v>0.46</v>
      </c>
      <c r="H27" s="14" t="s">
        <v>147</v>
      </c>
      <c r="I27" s="14"/>
      <c r="J27" s="14" t="s">
        <v>165</v>
      </c>
      <c r="L27" s="5">
        <v>26</v>
      </c>
      <c r="M27" t="s">
        <v>30</v>
      </c>
      <c r="N27" s="6">
        <v>0.27</v>
      </c>
      <c r="P27" s="14" t="s">
        <v>144</v>
      </c>
      <c r="Q27" s="14" t="s">
        <v>162</v>
      </c>
      <c r="R27" s="14">
        <v>2</v>
      </c>
      <c r="S27" s="14">
        <v>0</v>
      </c>
      <c r="T27" s="56">
        <v>2.2000000000000002</v>
      </c>
      <c r="W27" s="14">
        <v>26</v>
      </c>
      <c r="X27" s="14" t="s">
        <v>19</v>
      </c>
      <c r="Y27" s="14">
        <v>0.1</v>
      </c>
      <c r="Z27" s="14" t="s">
        <v>197</v>
      </c>
    </row>
    <row r="28" spans="3:29" x14ac:dyDescent="0.3">
      <c r="C28" s="14">
        <v>27</v>
      </c>
      <c r="D28" s="14" t="s">
        <v>29</v>
      </c>
      <c r="E28" s="14">
        <v>1.119</v>
      </c>
      <c r="F28" s="14">
        <v>0.46</v>
      </c>
      <c r="H28" s="14" t="s">
        <v>148</v>
      </c>
      <c r="I28" s="14"/>
      <c r="J28" s="14" t="s">
        <v>166</v>
      </c>
      <c r="L28" s="5">
        <v>27</v>
      </c>
      <c r="M28" t="s">
        <v>31</v>
      </c>
      <c r="N28" s="6">
        <v>0.27</v>
      </c>
      <c r="P28" s="14" t="s">
        <v>145</v>
      </c>
      <c r="Q28" s="14" t="s">
        <v>163</v>
      </c>
      <c r="R28" s="14">
        <v>1</v>
      </c>
      <c r="S28" s="14">
        <v>0</v>
      </c>
      <c r="T28" s="56">
        <v>2.2599999999999998</v>
      </c>
      <c r="W28" s="18">
        <v>27</v>
      </c>
      <c r="X28" s="18" t="s">
        <v>20</v>
      </c>
      <c r="Y28" s="18">
        <v>0.1</v>
      </c>
      <c r="Z28" s="18" t="s">
        <v>198</v>
      </c>
    </row>
    <row r="29" spans="3:29" x14ac:dyDescent="0.3">
      <c r="C29" s="14">
        <v>28</v>
      </c>
      <c r="D29" s="14" t="s">
        <v>30</v>
      </c>
      <c r="E29" s="14">
        <v>0.998</v>
      </c>
      <c r="F29" s="14">
        <f>MIN(J12,(J17/3))</f>
        <v>0.27</v>
      </c>
      <c r="H29" s="14" t="s">
        <v>149</v>
      </c>
      <c r="I29" s="14"/>
      <c r="J29" s="14" t="s">
        <v>167</v>
      </c>
      <c r="L29" s="5">
        <v>28</v>
      </c>
      <c r="M29" t="s">
        <v>32</v>
      </c>
      <c r="N29" s="6">
        <v>0.27</v>
      </c>
      <c r="P29" s="14" t="s">
        <v>146</v>
      </c>
      <c r="Q29" s="14" t="s">
        <v>164</v>
      </c>
      <c r="R29" s="14">
        <v>1</v>
      </c>
      <c r="S29" s="14">
        <v>1</v>
      </c>
      <c r="T29" s="56">
        <v>2.38</v>
      </c>
      <c r="W29" s="18">
        <v>28</v>
      </c>
      <c r="X29" s="18" t="s">
        <v>21</v>
      </c>
      <c r="Y29" s="18">
        <v>0.1</v>
      </c>
      <c r="Z29" s="18" t="s">
        <v>198</v>
      </c>
    </row>
    <row r="30" spans="3:29" x14ac:dyDescent="0.3">
      <c r="C30" s="14">
        <v>29</v>
      </c>
      <c r="D30" s="14" t="s">
        <v>31</v>
      </c>
      <c r="E30" s="14">
        <v>1.0129999999999999</v>
      </c>
      <c r="F30" s="14">
        <v>0.27</v>
      </c>
      <c r="H30" s="14" t="s">
        <v>150</v>
      </c>
      <c r="I30" s="14"/>
      <c r="J30" s="14" t="s">
        <v>168</v>
      </c>
      <c r="L30" s="15">
        <v>29</v>
      </c>
      <c r="M30" s="16" t="s">
        <v>9</v>
      </c>
      <c r="N30" s="17">
        <v>0.25</v>
      </c>
      <c r="P30" s="14" t="s">
        <v>147</v>
      </c>
      <c r="Q30" s="14" t="s">
        <v>165</v>
      </c>
      <c r="R30" s="14">
        <v>2</v>
      </c>
      <c r="S30" s="14">
        <v>1</v>
      </c>
      <c r="T30" s="56">
        <v>2.77</v>
      </c>
      <c r="W30" s="18">
        <v>29</v>
      </c>
      <c r="X30" s="18" t="s">
        <v>22</v>
      </c>
      <c r="Y30" s="18">
        <v>0.1</v>
      </c>
      <c r="Z30" s="18" t="s">
        <v>198</v>
      </c>
    </row>
    <row r="31" spans="3:29" x14ac:dyDescent="0.3">
      <c r="C31" s="14">
        <v>30</v>
      </c>
      <c r="D31" s="14" t="s">
        <v>32</v>
      </c>
      <c r="E31" s="14">
        <v>1.042</v>
      </c>
      <c r="F31" s="14">
        <v>0.27</v>
      </c>
      <c r="H31" s="14" t="s">
        <v>151</v>
      </c>
      <c r="I31" s="14"/>
      <c r="J31" s="14" t="s">
        <v>169</v>
      </c>
      <c r="L31" s="15">
        <v>30</v>
      </c>
      <c r="M31" s="16" t="s">
        <v>10</v>
      </c>
      <c r="N31" s="17">
        <v>0.25</v>
      </c>
      <c r="P31" s="14" t="s">
        <v>148</v>
      </c>
      <c r="Q31" s="14" t="s">
        <v>166</v>
      </c>
      <c r="R31" s="14">
        <v>3</v>
      </c>
      <c r="S31" s="14">
        <v>1</v>
      </c>
      <c r="T31" s="56">
        <v>2.8</v>
      </c>
      <c r="W31" s="18">
        <v>30</v>
      </c>
      <c r="X31" s="18" t="s">
        <v>23</v>
      </c>
      <c r="Y31" s="18">
        <v>0.1</v>
      </c>
      <c r="Z31" s="18" t="s">
        <v>198</v>
      </c>
    </row>
    <row r="32" spans="3:29" x14ac:dyDescent="0.3">
      <c r="C32" s="14">
        <v>31</v>
      </c>
      <c r="D32" s="14" t="s">
        <v>33</v>
      </c>
      <c r="E32" s="14">
        <v>0.92</v>
      </c>
      <c r="F32" s="14">
        <f>MIN(J10,(J19/3))</f>
        <v>1.6666666666666666E-2</v>
      </c>
      <c r="H32" s="14" t="s">
        <v>152</v>
      </c>
      <c r="I32" s="14"/>
      <c r="J32" s="14" t="s">
        <v>170</v>
      </c>
      <c r="L32" s="15">
        <v>31</v>
      </c>
      <c r="M32" s="16" t="s">
        <v>11</v>
      </c>
      <c r="N32" s="17">
        <v>0.25</v>
      </c>
      <c r="P32" s="14" t="s">
        <v>149</v>
      </c>
      <c r="Q32" s="14" t="s">
        <v>167</v>
      </c>
      <c r="R32" s="14">
        <v>1</v>
      </c>
      <c r="S32" s="14">
        <v>3</v>
      </c>
      <c r="T32" s="56">
        <v>2.84</v>
      </c>
      <c r="W32" s="18">
        <v>31</v>
      </c>
      <c r="X32" s="18" t="s">
        <v>24</v>
      </c>
      <c r="Y32" s="18">
        <v>0.1</v>
      </c>
      <c r="Z32" s="18" t="s">
        <v>198</v>
      </c>
    </row>
    <row r="33" spans="3:26" x14ac:dyDescent="0.3">
      <c r="C33" s="14">
        <v>32</v>
      </c>
      <c r="D33" s="14" t="s">
        <v>34</v>
      </c>
      <c r="E33" s="14">
        <v>0.93300000000000005</v>
      </c>
      <c r="F33" s="14">
        <v>1.6E-2</v>
      </c>
      <c r="H33" s="14" t="s">
        <v>153</v>
      </c>
      <c r="I33" s="14"/>
      <c r="J33" s="14" t="s">
        <v>171</v>
      </c>
      <c r="L33" s="15">
        <v>32</v>
      </c>
      <c r="M33" s="16" t="s">
        <v>12</v>
      </c>
      <c r="N33" s="17">
        <v>0.25</v>
      </c>
      <c r="P33" s="14" t="s">
        <v>150</v>
      </c>
      <c r="Q33" s="14" t="s">
        <v>168</v>
      </c>
      <c r="R33" s="14">
        <v>1</v>
      </c>
      <c r="S33" s="14">
        <v>2</v>
      </c>
      <c r="T33" s="56">
        <v>2.96</v>
      </c>
      <c r="W33" s="18">
        <v>32</v>
      </c>
      <c r="X33" s="18" t="s">
        <v>25</v>
      </c>
      <c r="Y33" s="18">
        <v>0.1</v>
      </c>
      <c r="Z33" s="18" t="s">
        <v>198</v>
      </c>
    </row>
    <row r="34" spans="3:26" x14ac:dyDescent="0.3">
      <c r="C34" s="14">
        <v>33</v>
      </c>
      <c r="D34" s="14" t="s">
        <v>35</v>
      </c>
      <c r="E34" s="14">
        <v>1.04</v>
      </c>
      <c r="F34" s="14">
        <v>1.6E-2</v>
      </c>
      <c r="H34" s="14" t="s">
        <v>154</v>
      </c>
      <c r="I34" s="14"/>
      <c r="J34" s="14" t="s">
        <v>172</v>
      </c>
      <c r="L34" s="15">
        <v>33</v>
      </c>
      <c r="M34" s="16" t="s">
        <v>45</v>
      </c>
      <c r="N34" s="17">
        <v>0.23</v>
      </c>
      <c r="P34" s="14" t="s">
        <v>151</v>
      </c>
      <c r="Q34" s="14" t="s">
        <v>169</v>
      </c>
      <c r="R34" s="14">
        <v>1</v>
      </c>
      <c r="S34" s="14">
        <v>2</v>
      </c>
      <c r="T34" s="56">
        <v>2.99</v>
      </c>
      <c r="W34" s="14">
        <v>33</v>
      </c>
      <c r="X34" s="14" t="s">
        <v>13</v>
      </c>
      <c r="Y34" s="14">
        <v>9.9999999999999992E-2</v>
      </c>
      <c r="Z34" s="14" t="s">
        <v>197</v>
      </c>
    </row>
    <row r="35" spans="3:26" x14ac:dyDescent="0.3">
      <c r="C35" s="14">
        <v>34</v>
      </c>
      <c r="D35" s="14" t="s">
        <v>36</v>
      </c>
      <c r="E35" s="14">
        <v>1.046</v>
      </c>
      <c r="F35" s="14">
        <v>1.6E-2</v>
      </c>
      <c r="H35" s="14" t="s">
        <v>155</v>
      </c>
      <c r="I35" s="14"/>
      <c r="J35" s="14" t="s">
        <v>155</v>
      </c>
      <c r="L35" s="15">
        <v>34</v>
      </c>
      <c r="M35" s="16" t="s">
        <v>46</v>
      </c>
      <c r="N35" s="17">
        <v>0.23</v>
      </c>
      <c r="P35" s="14" t="s">
        <v>152</v>
      </c>
      <c r="Q35" s="14" t="s">
        <v>170</v>
      </c>
      <c r="R35" s="14">
        <v>2</v>
      </c>
      <c r="S35" s="14">
        <v>2</v>
      </c>
      <c r="T35" s="56">
        <v>3</v>
      </c>
      <c r="W35" s="14">
        <v>34</v>
      </c>
      <c r="X35" s="14" t="s">
        <v>33</v>
      </c>
      <c r="Y35" s="14">
        <v>1.6666666666666666E-2</v>
      </c>
      <c r="Z35" s="14" t="s">
        <v>197</v>
      </c>
    </row>
    <row r="36" spans="3:26" x14ac:dyDescent="0.3">
      <c r="C36" s="14">
        <v>35</v>
      </c>
      <c r="D36" s="14" t="s">
        <v>37</v>
      </c>
      <c r="E36" s="14">
        <v>1.054</v>
      </c>
      <c r="F36" s="14">
        <v>1.6E-2</v>
      </c>
      <c r="H36" s="14" t="s">
        <v>156</v>
      </c>
      <c r="I36" s="14"/>
      <c r="J36" s="14" t="s">
        <v>173</v>
      </c>
      <c r="L36" s="15">
        <v>35</v>
      </c>
      <c r="M36" s="16" t="s">
        <v>66</v>
      </c>
      <c r="N36" s="17">
        <v>0.23</v>
      </c>
      <c r="P36" s="14" t="s">
        <v>153</v>
      </c>
      <c r="Q36" s="14" t="s">
        <v>171</v>
      </c>
      <c r="R36" s="14">
        <v>1</v>
      </c>
      <c r="S36" s="14">
        <v>4</v>
      </c>
      <c r="T36" s="56">
        <v>3.01</v>
      </c>
      <c r="W36" s="18">
        <v>35</v>
      </c>
      <c r="X36" s="18" t="s">
        <v>73</v>
      </c>
      <c r="Y36" s="18">
        <v>1.6666666666666666E-2</v>
      </c>
      <c r="Z36" s="18" t="s">
        <v>200</v>
      </c>
    </row>
    <row r="37" spans="3:26" x14ac:dyDescent="0.3">
      <c r="C37" s="14">
        <v>36</v>
      </c>
      <c r="D37" s="14" t="s">
        <v>38</v>
      </c>
      <c r="E37" s="14">
        <v>1.08</v>
      </c>
      <c r="F37" s="14">
        <v>1.6E-2</v>
      </c>
      <c r="H37" s="14" t="s">
        <v>157</v>
      </c>
      <c r="I37" s="14"/>
      <c r="J37" s="14" t="s">
        <v>174</v>
      </c>
      <c r="L37" s="15">
        <v>36</v>
      </c>
      <c r="M37" s="16" t="s">
        <v>14</v>
      </c>
      <c r="N37" s="17">
        <v>0.1</v>
      </c>
      <c r="P37" s="14" t="s">
        <v>154</v>
      </c>
      <c r="Q37" s="14" t="s">
        <v>172</v>
      </c>
      <c r="R37" s="14">
        <v>2</v>
      </c>
      <c r="S37" s="14">
        <v>3</v>
      </c>
      <c r="T37" s="56">
        <v>3.03</v>
      </c>
    </row>
    <row r="38" spans="3:26" x14ac:dyDescent="0.3">
      <c r="C38" s="14">
        <v>37</v>
      </c>
      <c r="D38" s="14" t="s">
        <v>39</v>
      </c>
      <c r="E38" s="14">
        <v>1.0860000000000001</v>
      </c>
      <c r="F38" s="14">
        <v>1.6E-2</v>
      </c>
      <c r="H38" s="14" t="s">
        <v>158</v>
      </c>
      <c r="I38" s="14"/>
      <c r="J38" s="14" t="s">
        <v>175</v>
      </c>
      <c r="L38" s="15">
        <v>37</v>
      </c>
      <c r="M38" s="16" t="s">
        <v>15</v>
      </c>
      <c r="N38" s="17">
        <v>0.1</v>
      </c>
      <c r="P38" s="14" t="s">
        <v>155</v>
      </c>
      <c r="Q38" s="14" t="s">
        <v>155</v>
      </c>
      <c r="R38" s="14">
        <v>1</v>
      </c>
      <c r="S38" s="14">
        <v>3</v>
      </c>
      <c r="T38" s="56">
        <v>3.04</v>
      </c>
    </row>
    <row r="39" spans="3:26" x14ac:dyDescent="0.3">
      <c r="C39" s="14">
        <v>38</v>
      </c>
      <c r="D39" s="14" t="s">
        <v>40</v>
      </c>
      <c r="E39" s="14">
        <v>1.0880000000000001</v>
      </c>
      <c r="F39" s="14">
        <v>1.6E-2</v>
      </c>
      <c r="H39" s="14" t="s">
        <v>159</v>
      </c>
      <c r="I39" s="14"/>
      <c r="J39" s="14" t="s">
        <v>176</v>
      </c>
      <c r="L39" s="15">
        <v>38</v>
      </c>
      <c r="M39" s="16" t="s">
        <v>16</v>
      </c>
      <c r="N39" s="17">
        <v>0.1</v>
      </c>
      <c r="P39" s="14" t="s">
        <v>156</v>
      </c>
      <c r="Q39" s="14" t="s">
        <v>173</v>
      </c>
      <c r="R39" s="14">
        <v>1</v>
      </c>
      <c r="S39" s="14">
        <v>3</v>
      </c>
      <c r="T39" s="56">
        <v>3.07</v>
      </c>
    </row>
    <row r="40" spans="3:26" x14ac:dyDescent="0.3">
      <c r="C40" s="14">
        <v>39</v>
      </c>
      <c r="D40" s="14" t="s">
        <v>41</v>
      </c>
      <c r="E40" s="14">
        <v>1.0900000000000001</v>
      </c>
      <c r="F40" s="14">
        <v>1.6E-2</v>
      </c>
      <c r="H40" s="14" t="s">
        <v>160</v>
      </c>
      <c r="I40" s="14"/>
      <c r="J40" s="14" t="s">
        <v>177</v>
      </c>
      <c r="L40" s="15">
        <v>39</v>
      </c>
      <c r="M40" s="16" t="s">
        <v>17</v>
      </c>
      <c r="N40" s="17">
        <v>0.1</v>
      </c>
      <c r="P40" s="14" t="s">
        <v>157</v>
      </c>
      <c r="Q40" s="14" t="s">
        <v>174</v>
      </c>
      <c r="R40" s="14">
        <v>1</v>
      </c>
      <c r="S40" s="14">
        <v>4</v>
      </c>
      <c r="T40" s="56">
        <v>3.22</v>
      </c>
    </row>
    <row r="41" spans="3:26" x14ac:dyDescent="0.3">
      <c r="C41" s="14">
        <v>40</v>
      </c>
      <c r="D41" s="14" t="s">
        <v>42</v>
      </c>
      <c r="E41" s="14">
        <v>1.0940000000000001</v>
      </c>
      <c r="F41" s="14">
        <v>1.6E-2</v>
      </c>
      <c r="L41" s="15">
        <v>40</v>
      </c>
      <c r="M41" s="16" t="s">
        <v>18</v>
      </c>
      <c r="N41" s="17">
        <v>0.1</v>
      </c>
      <c r="P41" s="14" t="s">
        <v>158</v>
      </c>
      <c r="Q41" s="14" t="s">
        <v>175</v>
      </c>
      <c r="R41" s="14">
        <v>1</v>
      </c>
      <c r="S41" s="14">
        <v>4</v>
      </c>
      <c r="T41" s="56">
        <v>3.6</v>
      </c>
    </row>
    <row r="42" spans="3:26" x14ac:dyDescent="0.3">
      <c r="C42" s="14">
        <v>41</v>
      </c>
      <c r="D42" s="14" t="s">
        <v>43</v>
      </c>
      <c r="E42" s="14">
        <v>1.0960000000000001</v>
      </c>
      <c r="F42" s="14">
        <v>1.6E-2</v>
      </c>
      <c r="L42" s="15">
        <v>41</v>
      </c>
      <c r="M42" s="16" t="s">
        <v>19</v>
      </c>
      <c r="N42" s="17">
        <v>0.1</v>
      </c>
      <c r="P42" s="14" t="s">
        <v>159</v>
      </c>
      <c r="Q42" s="14" t="s">
        <v>176</v>
      </c>
      <c r="R42" s="14">
        <v>1</v>
      </c>
      <c r="S42" s="14">
        <v>4</v>
      </c>
      <c r="T42" s="56">
        <v>3.85</v>
      </c>
    </row>
    <row r="43" spans="3:26" x14ac:dyDescent="0.3">
      <c r="C43" s="14">
        <v>42</v>
      </c>
      <c r="D43" s="14" t="s">
        <v>44</v>
      </c>
      <c r="E43" s="14">
        <v>1.103</v>
      </c>
      <c r="F43" s="14">
        <v>1.6E-2</v>
      </c>
      <c r="L43" s="15">
        <v>42</v>
      </c>
      <c r="M43" s="16" t="s">
        <v>20</v>
      </c>
      <c r="N43" s="17">
        <v>0.1</v>
      </c>
      <c r="P43" s="14" t="s">
        <v>160</v>
      </c>
      <c r="Q43" s="14" t="s">
        <v>177</v>
      </c>
      <c r="R43" s="14">
        <v>1</v>
      </c>
      <c r="S43" s="14">
        <v>6</v>
      </c>
      <c r="T43" s="56">
        <v>3.88</v>
      </c>
    </row>
    <row r="44" spans="3:26" x14ac:dyDescent="0.3">
      <c r="C44" s="14">
        <v>43</v>
      </c>
      <c r="D44" s="14" t="s">
        <v>45</v>
      </c>
      <c r="E44" s="14">
        <v>1.008</v>
      </c>
      <c r="F44" s="14">
        <f>MIN(J9,(J17/3))</f>
        <v>0.23</v>
      </c>
      <c r="L44" s="15">
        <v>43</v>
      </c>
      <c r="M44" s="16" t="s">
        <v>21</v>
      </c>
      <c r="N44" s="17">
        <v>0.1</v>
      </c>
      <c r="T44" s="54"/>
    </row>
    <row r="45" spans="3:26" x14ac:dyDescent="0.3">
      <c r="C45" s="14">
        <v>44</v>
      </c>
      <c r="D45" s="14" t="s">
        <v>46</v>
      </c>
      <c r="E45" s="14">
        <v>1.0229999999999999</v>
      </c>
      <c r="F45" s="14">
        <v>0.23</v>
      </c>
      <c r="L45" s="15">
        <v>44</v>
      </c>
      <c r="M45" s="16" t="s">
        <v>22</v>
      </c>
      <c r="N45" s="17">
        <v>0.1</v>
      </c>
      <c r="T45" s="54"/>
    </row>
    <row r="46" spans="3:26" x14ac:dyDescent="0.3">
      <c r="C46" s="14">
        <v>45</v>
      </c>
      <c r="D46" s="14" t="s">
        <v>47</v>
      </c>
      <c r="E46" s="14">
        <v>0.99</v>
      </c>
      <c r="F46" s="14">
        <f>MIN(J14,(J18/3))</f>
        <v>9.9999999999999992E-2</v>
      </c>
      <c r="L46" s="15">
        <v>45</v>
      </c>
      <c r="M46" s="16" t="s">
        <v>23</v>
      </c>
      <c r="N46" s="17">
        <v>0.1</v>
      </c>
      <c r="T46" s="54"/>
    </row>
    <row r="47" spans="3:26" x14ac:dyDescent="0.3">
      <c r="C47" s="14">
        <v>46</v>
      </c>
      <c r="D47" s="14" t="s">
        <v>48</v>
      </c>
      <c r="E47" s="14">
        <v>1.0049999999999999</v>
      </c>
      <c r="F47" s="14">
        <v>0.1</v>
      </c>
      <c r="L47" s="15">
        <v>46</v>
      </c>
      <c r="M47" s="16" t="s">
        <v>24</v>
      </c>
      <c r="N47" s="17">
        <v>0.1</v>
      </c>
    </row>
    <row r="48" spans="3:26" x14ac:dyDescent="0.3">
      <c r="C48" s="14">
        <v>47</v>
      </c>
      <c r="D48" s="14" t="s">
        <v>49</v>
      </c>
      <c r="E48" s="14">
        <v>1.0329999999999999</v>
      </c>
      <c r="F48" s="14">
        <v>0.1</v>
      </c>
      <c r="L48" s="15">
        <v>47</v>
      </c>
      <c r="M48" s="16" t="s">
        <v>25</v>
      </c>
      <c r="N48" s="17">
        <v>0.1</v>
      </c>
    </row>
    <row r="49" spans="3:14" x14ac:dyDescent="0.3">
      <c r="C49" s="14">
        <v>48</v>
      </c>
      <c r="D49" s="14" t="s">
        <v>50</v>
      </c>
      <c r="E49" s="14">
        <v>0.94</v>
      </c>
      <c r="F49" s="14">
        <f>MIN(J12,(J19/3))</f>
        <v>1.6666666666666666E-2</v>
      </c>
      <c r="L49" s="5">
        <v>48</v>
      </c>
      <c r="M49" t="s">
        <v>48</v>
      </c>
      <c r="N49" s="6">
        <v>0.1</v>
      </c>
    </row>
    <row r="50" spans="3:14" x14ac:dyDescent="0.3">
      <c r="C50" s="14">
        <v>49</v>
      </c>
      <c r="D50" s="14" t="s">
        <v>51</v>
      </c>
      <c r="E50" s="14">
        <v>0.95299999999999996</v>
      </c>
      <c r="F50" s="14">
        <v>1.6E-2</v>
      </c>
      <c r="L50" s="5">
        <v>49</v>
      </c>
      <c r="M50" t="s">
        <v>49</v>
      </c>
      <c r="N50" s="6">
        <v>0.1</v>
      </c>
    </row>
    <row r="51" spans="3:14" x14ac:dyDescent="0.3">
      <c r="C51" s="14">
        <v>50</v>
      </c>
      <c r="D51" s="14" t="s">
        <v>52</v>
      </c>
      <c r="E51" s="14">
        <v>0.97799999999999998</v>
      </c>
      <c r="F51" s="14">
        <v>1.6E-2</v>
      </c>
      <c r="L51" s="5">
        <v>50</v>
      </c>
      <c r="M51" t="s">
        <v>92</v>
      </c>
      <c r="N51" s="6">
        <v>0.1</v>
      </c>
    </row>
    <row r="52" spans="3:14" x14ac:dyDescent="0.3">
      <c r="C52" s="14">
        <v>51</v>
      </c>
      <c r="D52" s="14" t="s">
        <v>53</v>
      </c>
      <c r="E52" s="14">
        <v>1.0620000000000001</v>
      </c>
      <c r="F52" s="14">
        <v>1.6E-2</v>
      </c>
      <c r="L52" s="5">
        <v>51</v>
      </c>
      <c r="M52" t="s">
        <v>93</v>
      </c>
      <c r="N52" s="6">
        <v>0.1</v>
      </c>
    </row>
    <row r="53" spans="3:14" x14ac:dyDescent="0.3">
      <c r="C53" s="14">
        <v>52</v>
      </c>
      <c r="D53" s="14" t="s">
        <v>54</v>
      </c>
      <c r="E53" s="14">
        <v>1.0680000000000001</v>
      </c>
      <c r="F53" s="14">
        <v>1.6E-2</v>
      </c>
      <c r="L53" s="5">
        <v>52</v>
      </c>
      <c r="M53" t="s">
        <v>94</v>
      </c>
      <c r="N53" s="6">
        <v>0.1</v>
      </c>
    </row>
    <row r="54" spans="3:14" x14ac:dyDescent="0.3">
      <c r="C54" s="14">
        <v>53</v>
      </c>
      <c r="D54" s="14" t="s">
        <v>55</v>
      </c>
      <c r="E54" s="14">
        <v>1.077</v>
      </c>
      <c r="F54" s="14">
        <v>1.6E-2</v>
      </c>
      <c r="L54" s="15">
        <v>53</v>
      </c>
      <c r="M54" s="16" t="s">
        <v>13</v>
      </c>
      <c r="N54" s="17">
        <v>9.9999999999999992E-2</v>
      </c>
    </row>
    <row r="55" spans="3:14" x14ac:dyDescent="0.3">
      <c r="C55" s="14">
        <v>54</v>
      </c>
      <c r="D55" s="14" t="s">
        <v>56</v>
      </c>
      <c r="E55" s="14">
        <v>1.1020000000000001</v>
      </c>
      <c r="F55" s="14">
        <v>1.6E-2</v>
      </c>
      <c r="L55" s="5">
        <v>54</v>
      </c>
      <c r="M55" t="s">
        <v>47</v>
      </c>
      <c r="N55" s="6">
        <v>9.9999999999999992E-2</v>
      </c>
    </row>
    <row r="56" spans="3:14" x14ac:dyDescent="0.3">
      <c r="C56" s="14">
        <v>55</v>
      </c>
      <c r="D56" s="14" t="s">
        <v>57</v>
      </c>
      <c r="E56" s="14">
        <v>1.109</v>
      </c>
      <c r="F56" s="14">
        <v>1.6E-2</v>
      </c>
      <c r="L56" s="5">
        <v>55</v>
      </c>
      <c r="M56" t="s">
        <v>91</v>
      </c>
      <c r="N56" s="6">
        <v>9.9999999999999992E-2</v>
      </c>
    </row>
    <row r="57" spans="3:14" x14ac:dyDescent="0.3">
      <c r="C57" s="14">
        <v>56</v>
      </c>
      <c r="D57" s="14" t="s">
        <v>58</v>
      </c>
      <c r="E57" s="14">
        <v>1.111</v>
      </c>
      <c r="F57" s="14">
        <v>1.6E-2</v>
      </c>
      <c r="L57" s="5">
        <v>56</v>
      </c>
      <c r="M57" t="s">
        <v>62</v>
      </c>
      <c r="N57" s="6">
        <v>0.05</v>
      </c>
    </row>
    <row r="58" spans="3:14" x14ac:dyDescent="0.3">
      <c r="C58" s="14">
        <v>57</v>
      </c>
      <c r="D58" s="14" t="s">
        <v>59</v>
      </c>
      <c r="E58" s="14">
        <v>1.113</v>
      </c>
      <c r="F58" s="14">
        <v>1.6E-2</v>
      </c>
      <c r="L58" s="5">
        <v>57</v>
      </c>
      <c r="M58" t="s">
        <v>63</v>
      </c>
      <c r="N58" s="6">
        <v>0.05</v>
      </c>
    </row>
    <row r="59" spans="3:14" x14ac:dyDescent="0.3">
      <c r="C59" s="14">
        <v>58</v>
      </c>
      <c r="D59" s="14" t="s">
        <v>60</v>
      </c>
      <c r="E59" s="14">
        <v>1.117</v>
      </c>
      <c r="F59" s="14">
        <v>1.6E-2</v>
      </c>
      <c r="L59" s="5">
        <v>58</v>
      </c>
      <c r="M59" t="s">
        <v>64</v>
      </c>
      <c r="N59" s="6">
        <v>0.05</v>
      </c>
    </row>
    <row r="60" spans="3:14" x14ac:dyDescent="0.3">
      <c r="C60" s="14">
        <v>59</v>
      </c>
      <c r="D60" s="14" t="s">
        <v>61</v>
      </c>
      <c r="E60" s="14">
        <v>1.119</v>
      </c>
      <c r="F60" s="14">
        <v>1.6E-2</v>
      </c>
      <c r="L60" s="5">
        <v>59</v>
      </c>
      <c r="M60" t="s">
        <v>65</v>
      </c>
      <c r="N60" s="6">
        <v>0.05</v>
      </c>
    </row>
    <row r="61" spans="3:14" x14ac:dyDescent="0.3">
      <c r="C61" s="14">
        <v>60</v>
      </c>
      <c r="D61" s="14" t="s">
        <v>62</v>
      </c>
      <c r="E61" s="14">
        <v>0.90200000000000002</v>
      </c>
      <c r="F61" s="14">
        <f>MIN(J11,(J17/3))</f>
        <v>0.05</v>
      </c>
      <c r="L61" s="5">
        <v>60</v>
      </c>
      <c r="M61" t="s">
        <v>70</v>
      </c>
      <c r="N61" s="6">
        <v>0.05</v>
      </c>
    </row>
    <row r="62" spans="3:14" x14ac:dyDescent="0.3">
      <c r="C62" s="14">
        <v>61</v>
      </c>
      <c r="D62" s="14" t="s">
        <v>63</v>
      </c>
      <c r="E62" s="14">
        <v>1.03</v>
      </c>
      <c r="F62" s="14">
        <v>0.05</v>
      </c>
      <c r="L62" s="5">
        <v>61</v>
      </c>
      <c r="M62" t="s">
        <v>71</v>
      </c>
      <c r="N62" s="6">
        <v>0.05</v>
      </c>
    </row>
    <row r="63" spans="3:14" x14ac:dyDescent="0.3">
      <c r="C63" s="14">
        <v>62</v>
      </c>
      <c r="D63" s="14" t="s">
        <v>64</v>
      </c>
      <c r="E63" s="14">
        <v>1.0449999999999999</v>
      </c>
      <c r="F63" s="14">
        <v>0.05</v>
      </c>
      <c r="L63" s="5">
        <v>62</v>
      </c>
      <c r="M63" t="s">
        <v>72</v>
      </c>
      <c r="N63" s="6">
        <v>0.05</v>
      </c>
    </row>
    <row r="64" spans="3:14" x14ac:dyDescent="0.3">
      <c r="C64" s="14">
        <v>63</v>
      </c>
      <c r="D64" s="14" t="s">
        <v>65</v>
      </c>
      <c r="E64" s="14">
        <v>1.0760000000000001</v>
      </c>
      <c r="F64" s="14">
        <v>0.05</v>
      </c>
      <c r="L64" s="15">
        <v>63</v>
      </c>
      <c r="M64" s="16" t="s">
        <v>33</v>
      </c>
      <c r="N64" s="17">
        <v>1.6666666666666666E-2</v>
      </c>
    </row>
    <row r="65" spans="3:14" x14ac:dyDescent="0.3">
      <c r="C65" s="14">
        <v>64</v>
      </c>
      <c r="D65" s="14" t="s">
        <v>66</v>
      </c>
      <c r="E65" s="14">
        <v>1.0149999999999999</v>
      </c>
      <c r="F65" s="14">
        <f>MIN(J9,3*J18)</f>
        <v>0.23</v>
      </c>
      <c r="L65" s="5">
        <v>64</v>
      </c>
      <c r="M65" t="s">
        <v>50</v>
      </c>
      <c r="N65" s="6">
        <v>1.6666666666666666E-2</v>
      </c>
    </row>
    <row r="66" spans="3:14" x14ac:dyDescent="0.3">
      <c r="C66" s="14">
        <v>65</v>
      </c>
      <c r="D66" s="14" t="s">
        <v>67</v>
      </c>
      <c r="E66" s="14">
        <v>1.034</v>
      </c>
      <c r="F66" s="14">
        <f>MIN(J6,J17/3)</f>
        <v>25.333333333333332</v>
      </c>
      <c r="L66" s="15">
        <v>65</v>
      </c>
      <c r="M66" s="16" t="s">
        <v>73</v>
      </c>
      <c r="N66" s="17">
        <v>1.6666666666666666E-2</v>
      </c>
    </row>
    <row r="67" spans="3:14" x14ac:dyDescent="0.3">
      <c r="C67" s="14">
        <v>66</v>
      </c>
      <c r="D67" s="14" t="s">
        <v>68</v>
      </c>
      <c r="E67" s="14">
        <v>1.0489999999999999</v>
      </c>
      <c r="F67" s="14">
        <v>25.3</v>
      </c>
      <c r="L67" s="5">
        <v>66</v>
      </c>
      <c r="M67" t="s">
        <v>86</v>
      </c>
      <c r="N67" s="6">
        <v>1.6666666666666666E-2</v>
      </c>
    </row>
    <row r="68" spans="3:14" x14ac:dyDescent="0.3">
      <c r="C68" s="14">
        <v>67</v>
      </c>
      <c r="D68" s="14" t="s">
        <v>69</v>
      </c>
      <c r="E68" s="14">
        <v>1.08</v>
      </c>
      <c r="F68" s="14">
        <v>25.3</v>
      </c>
      <c r="L68" s="5">
        <v>67</v>
      </c>
      <c r="M68" t="s">
        <v>95</v>
      </c>
      <c r="N68" s="6">
        <v>1.6666666666666666E-2</v>
      </c>
    </row>
    <row r="69" spans="3:14" x14ac:dyDescent="0.3">
      <c r="C69" s="14">
        <v>68</v>
      </c>
      <c r="D69" s="14" t="s">
        <v>70</v>
      </c>
      <c r="E69" s="14">
        <v>1.018</v>
      </c>
      <c r="F69" s="14">
        <f>MIN(J11,J18/3)</f>
        <v>0.05</v>
      </c>
      <c r="L69" s="5">
        <v>68</v>
      </c>
      <c r="M69" t="s">
        <v>99</v>
      </c>
      <c r="N69" s="6">
        <v>1.6666666666666666E-2</v>
      </c>
    </row>
    <row r="70" spans="3:14" x14ac:dyDescent="0.3">
      <c r="C70" s="14">
        <v>69</v>
      </c>
      <c r="D70" s="14" t="s">
        <v>71</v>
      </c>
      <c r="E70" s="14">
        <v>1.0329999999999999</v>
      </c>
      <c r="F70" s="14">
        <v>0.05</v>
      </c>
      <c r="L70" s="5">
        <v>69</v>
      </c>
      <c r="M70" t="s">
        <v>34</v>
      </c>
      <c r="N70" s="6">
        <v>1.6E-2</v>
      </c>
    </row>
    <row r="71" spans="3:14" x14ac:dyDescent="0.3">
      <c r="C71" s="14">
        <v>70</v>
      </c>
      <c r="D71" s="14" t="s">
        <v>72</v>
      </c>
      <c r="E71" s="14">
        <v>1.0620000000000001</v>
      </c>
      <c r="F71" s="14">
        <v>0.05</v>
      </c>
      <c r="L71" s="5">
        <v>70</v>
      </c>
      <c r="M71" t="s">
        <v>35</v>
      </c>
      <c r="N71" s="6">
        <v>1.6E-2</v>
      </c>
    </row>
    <row r="72" spans="3:14" x14ac:dyDescent="0.3">
      <c r="C72" s="14">
        <v>71</v>
      </c>
      <c r="D72" s="14" t="s">
        <v>73</v>
      </c>
      <c r="E72" s="14">
        <v>1.103</v>
      </c>
      <c r="F72" s="14">
        <f>MIN(J9,J19/3)</f>
        <v>1.6666666666666666E-2</v>
      </c>
      <c r="L72" s="5">
        <v>71</v>
      </c>
      <c r="M72" t="s">
        <v>36</v>
      </c>
      <c r="N72" s="6">
        <v>1.6E-2</v>
      </c>
    </row>
    <row r="73" spans="3:14" x14ac:dyDescent="0.3">
      <c r="C73" s="14">
        <v>72</v>
      </c>
      <c r="D73" s="14" t="s">
        <v>74</v>
      </c>
      <c r="E73" s="14">
        <v>0.92500000000000004</v>
      </c>
      <c r="F73" s="14">
        <f>MIN(J13,J17/3)</f>
        <v>0.3</v>
      </c>
      <c r="L73" s="5">
        <v>72</v>
      </c>
      <c r="M73" t="s">
        <v>37</v>
      </c>
      <c r="N73" s="6">
        <v>1.6E-2</v>
      </c>
    </row>
    <row r="74" spans="3:14" x14ac:dyDescent="0.3">
      <c r="C74" s="14">
        <v>73</v>
      </c>
      <c r="D74" s="14" t="s">
        <v>75</v>
      </c>
      <c r="E74" s="14">
        <v>1.0569999999999999</v>
      </c>
      <c r="F74" s="14">
        <v>0.3</v>
      </c>
      <c r="L74" s="5">
        <v>73</v>
      </c>
      <c r="M74" t="s">
        <v>38</v>
      </c>
      <c r="N74" s="6">
        <v>1.6E-2</v>
      </c>
    </row>
    <row r="75" spans="3:14" x14ac:dyDescent="0.3">
      <c r="C75" s="14">
        <v>74</v>
      </c>
      <c r="D75" s="14" t="s">
        <v>76</v>
      </c>
      <c r="E75" s="14">
        <v>1.0720000000000001</v>
      </c>
      <c r="F75" s="14">
        <v>0.3</v>
      </c>
      <c r="L75" s="5">
        <v>74</v>
      </c>
      <c r="M75" t="s">
        <v>39</v>
      </c>
      <c r="N75" s="6">
        <v>1.6E-2</v>
      </c>
    </row>
    <row r="76" spans="3:14" x14ac:dyDescent="0.3">
      <c r="C76" s="14">
        <v>75</v>
      </c>
      <c r="D76" s="14" t="s">
        <v>77</v>
      </c>
      <c r="E76" s="14">
        <v>1.1040000000000001</v>
      </c>
      <c r="F76" s="14">
        <v>0.3</v>
      </c>
      <c r="L76" s="5">
        <v>75</v>
      </c>
      <c r="M76" t="s">
        <v>40</v>
      </c>
      <c r="N76" s="6">
        <v>1.6E-2</v>
      </c>
    </row>
    <row r="77" spans="3:14" x14ac:dyDescent="0.3">
      <c r="C77" s="14">
        <v>76</v>
      </c>
      <c r="D77" s="14" t="s">
        <v>78</v>
      </c>
      <c r="E77" s="14">
        <v>0.9</v>
      </c>
      <c r="F77" s="14">
        <f>MIN(J6,3*J18)</f>
        <v>0.89999999999999991</v>
      </c>
      <c r="L77" s="5">
        <v>76</v>
      </c>
      <c r="M77" t="s">
        <v>41</v>
      </c>
      <c r="N77" s="6">
        <v>1.6E-2</v>
      </c>
    </row>
    <row r="78" spans="3:14" x14ac:dyDescent="0.3">
      <c r="C78" s="14">
        <v>77</v>
      </c>
      <c r="D78" s="14" t="s">
        <v>79</v>
      </c>
      <c r="E78" s="14">
        <v>1.0249999999999999</v>
      </c>
      <c r="F78" s="14">
        <v>0.9</v>
      </c>
      <c r="L78" s="5">
        <v>77</v>
      </c>
      <c r="M78" t="s">
        <v>42</v>
      </c>
      <c r="N78" s="6">
        <v>1.6E-2</v>
      </c>
    </row>
    <row r="79" spans="3:14" x14ac:dyDescent="0.3">
      <c r="C79" s="14">
        <v>78</v>
      </c>
      <c r="D79" s="14" t="s">
        <v>80</v>
      </c>
      <c r="E79" s="14">
        <v>1.04</v>
      </c>
      <c r="F79" s="14">
        <v>0.9</v>
      </c>
      <c r="L79" s="5">
        <v>78</v>
      </c>
      <c r="M79" t="s">
        <v>43</v>
      </c>
      <c r="N79" s="6">
        <v>1.6E-2</v>
      </c>
    </row>
    <row r="80" spans="3:14" x14ac:dyDescent="0.3">
      <c r="C80" s="14">
        <v>79</v>
      </c>
      <c r="D80" s="14" t="s">
        <v>81</v>
      </c>
      <c r="E80" s="14">
        <v>1.069</v>
      </c>
      <c r="F80" s="14">
        <v>0.9</v>
      </c>
      <c r="L80" s="5">
        <v>79</v>
      </c>
      <c r="M80" t="s">
        <v>44</v>
      </c>
      <c r="N80" s="6">
        <v>1.6E-2</v>
      </c>
    </row>
    <row r="81" spans="3:14" x14ac:dyDescent="0.3">
      <c r="C81" s="14">
        <v>80</v>
      </c>
      <c r="D81" s="14" t="s">
        <v>82</v>
      </c>
      <c r="E81" s="14">
        <v>0.91</v>
      </c>
      <c r="F81" s="14">
        <f>MIN(J13,3*J18)</f>
        <v>0.3</v>
      </c>
      <c r="L81" s="5">
        <v>80</v>
      </c>
      <c r="M81" t="s">
        <v>51</v>
      </c>
      <c r="N81" s="6">
        <v>1.6E-2</v>
      </c>
    </row>
    <row r="82" spans="3:14" x14ac:dyDescent="0.3">
      <c r="C82" s="14">
        <v>81</v>
      </c>
      <c r="D82" s="14" t="s">
        <v>83</v>
      </c>
      <c r="E82" s="14">
        <v>1.036</v>
      </c>
      <c r="F82" s="14">
        <v>0.3</v>
      </c>
      <c r="L82" s="5">
        <v>81</v>
      </c>
      <c r="M82" t="s">
        <v>52</v>
      </c>
      <c r="N82" s="6">
        <v>1.6E-2</v>
      </c>
    </row>
    <row r="83" spans="3:14" x14ac:dyDescent="0.3">
      <c r="C83" s="14">
        <v>82</v>
      </c>
      <c r="D83" s="14" t="s">
        <v>84</v>
      </c>
      <c r="E83" s="14">
        <v>1.0509999999999999</v>
      </c>
      <c r="F83" s="14">
        <v>0.3</v>
      </c>
      <c r="L83" s="5">
        <v>82</v>
      </c>
      <c r="M83" t="s">
        <v>53</v>
      </c>
      <c r="N83" s="6">
        <v>1.6E-2</v>
      </c>
    </row>
    <row r="84" spans="3:14" x14ac:dyDescent="0.3">
      <c r="C84" s="14">
        <v>83</v>
      </c>
      <c r="D84" s="14" t="s">
        <v>85</v>
      </c>
      <c r="E84" s="14">
        <v>1.081</v>
      </c>
      <c r="F84" s="14">
        <v>0.3</v>
      </c>
      <c r="L84" s="5">
        <v>83</v>
      </c>
      <c r="M84" t="s">
        <v>54</v>
      </c>
      <c r="N84" s="6">
        <v>1.6E-2</v>
      </c>
    </row>
    <row r="85" spans="3:14" x14ac:dyDescent="0.3">
      <c r="C85" s="14">
        <v>84</v>
      </c>
      <c r="D85" s="14" t="s">
        <v>86</v>
      </c>
      <c r="E85" s="14">
        <v>0.98099999999999998</v>
      </c>
      <c r="F85" s="14">
        <f>MIN(J14,J19/3)</f>
        <v>1.6666666666666666E-2</v>
      </c>
      <c r="L85" s="5">
        <v>84</v>
      </c>
      <c r="M85" t="s">
        <v>55</v>
      </c>
      <c r="N85" s="6">
        <v>1.6E-2</v>
      </c>
    </row>
    <row r="86" spans="3:14" x14ac:dyDescent="0.3">
      <c r="C86" s="14">
        <v>85</v>
      </c>
      <c r="D86" s="14" t="s">
        <v>87</v>
      </c>
      <c r="E86" s="14">
        <v>0.995</v>
      </c>
      <c r="F86" s="14">
        <v>1.6E-2</v>
      </c>
      <c r="L86" s="5">
        <v>85</v>
      </c>
      <c r="M86" t="s">
        <v>56</v>
      </c>
      <c r="N86" s="6">
        <v>1.6E-2</v>
      </c>
    </row>
    <row r="87" spans="3:14" x14ac:dyDescent="0.3">
      <c r="C87" s="14">
        <v>86</v>
      </c>
      <c r="D87" s="14" t="s">
        <v>88</v>
      </c>
      <c r="E87" s="14">
        <v>1.022</v>
      </c>
      <c r="F87" s="14">
        <v>1.6E-2</v>
      </c>
      <c r="L87" s="5">
        <v>86</v>
      </c>
      <c r="M87" t="s">
        <v>57</v>
      </c>
      <c r="N87" s="6">
        <v>1.6E-2</v>
      </c>
    </row>
    <row r="88" spans="3:14" x14ac:dyDescent="0.3">
      <c r="C88" s="14">
        <v>87</v>
      </c>
      <c r="D88" s="14" t="s">
        <v>89</v>
      </c>
      <c r="E88" s="14">
        <v>1.109</v>
      </c>
      <c r="F88" s="14">
        <v>1.6E-2</v>
      </c>
      <c r="L88" s="5">
        <v>87</v>
      </c>
      <c r="M88" t="s">
        <v>58</v>
      </c>
      <c r="N88" s="6">
        <v>1.6E-2</v>
      </c>
    </row>
    <row r="89" spans="3:14" x14ac:dyDescent="0.3">
      <c r="C89" s="14">
        <v>88</v>
      </c>
      <c r="D89" s="14" t="s">
        <v>90</v>
      </c>
      <c r="E89" s="14">
        <v>1.115</v>
      </c>
      <c r="F89" s="14">
        <v>1.6E-2</v>
      </c>
      <c r="L89" s="5">
        <v>88</v>
      </c>
      <c r="M89" t="s">
        <v>59</v>
      </c>
      <c r="N89" s="6">
        <v>1.6E-2</v>
      </c>
    </row>
    <row r="90" spans="3:14" x14ac:dyDescent="0.3">
      <c r="C90" s="14">
        <v>89</v>
      </c>
      <c r="D90" s="14" t="s">
        <v>91</v>
      </c>
      <c r="E90" s="14">
        <v>0.91600000000000004</v>
      </c>
      <c r="F90" s="14">
        <f>MIN(J12,J18/3)</f>
        <v>9.9999999999999992E-2</v>
      </c>
      <c r="L90" s="5">
        <v>89</v>
      </c>
      <c r="M90" t="s">
        <v>60</v>
      </c>
      <c r="N90" s="6">
        <v>1.6E-2</v>
      </c>
    </row>
    <row r="91" spans="3:14" x14ac:dyDescent="0.3">
      <c r="C91" s="14">
        <v>90</v>
      </c>
      <c r="D91" s="14" t="s">
        <v>92</v>
      </c>
      <c r="E91" s="14">
        <v>1.0429999999999999</v>
      </c>
      <c r="F91" s="14">
        <v>0.1</v>
      </c>
      <c r="L91" s="5">
        <v>90</v>
      </c>
      <c r="M91" t="s">
        <v>61</v>
      </c>
      <c r="N91" s="6">
        <v>1.6E-2</v>
      </c>
    </row>
    <row r="92" spans="3:14" x14ac:dyDescent="0.3">
      <c r="C92" s="14">
        <v>91</v>
      </c>
      <c r="D92" s="14" t="s">
        <v>93</v>
      </c>
      <c r="E92" s="14">
        <v>1.0580000000000001</v>
      </c>
      <c r="F92" s="14">
        <v>0.1</v>
      </c>
      <c r="L92" s="5">
        <v>91</v>
      </c>
      <c r="M92" t="s">
        <v>87</v>
      </c>
      <c r="N92" s="6">
        <v>1.6E-2</v>
      </c>
    </row>
    <row r="93" spans="3:14" x14ac:dyDescent="0.3">
      <c r="C93" s="14">
        <v>92</v>
      </c>
      <c r="D93" s="14" t="s">
        <v>94</v>
      </c>
      <c r="E93" s="14">
        <v>1.0880000000000001</v>
      </c>
      <c r="F93" s="14">
        <v>0.1</v>
      </c>
      <c r="L93" s="5">
        <v>92</v>
      </c>
      <c r="M93" t="s">
        <v>88</v>
      </c>
      <c r="N93" s="6">
        <v>1.6E-2</v>
      </c>
    </row>
    <row r="94" spans="3:14" x14ac:dyDescent="0.3">
      <c r="C94" s="14">
        <v>93</v>
      </c>
      <c r="D94" s="14" t="s">
        <v>95</v>
      </c>
      <c r="E94" s="14">
        <v>0.98799999999999999</v>
      </c>
      <c r="F94" s="14">
        <f>MIN(J11,J19/3)</f>
        <v>1.6666666666666666E-2</v>
      </c>
      <c r="L94" s="5">
        <v>93</v>
      </c>
      <c r="M94" t="s">
        <v>89</v>
      </c>
      <c r="N94" s="6">
        <v>1.6E-2</v>
      </c>
    </row>
    <row r="95" spans="3:14" x14ac:dyDescent="0.3">
      <c r="C95" s="14">
        <v>94</v>
      </c>
      <c r="D95" s="14" t="s">
        <v>96</v>
      </c>
      <c r="E95" s="14">
        <v>1.0009999999999999</v>
      </c>
      <c r="F95" s="14">
        <v>1.6E-2</v>
      </c>
      <c r="L95" s="5">
        <v>94</v>
      </c>
      <c r="M95" t="s">
        <v>90</v>
      </c>
      <c r="N95" s="6">
        <v>1.6E-2</v>
      </c>
    </row>
    <row r="96" spans="3:14" x14ac:dyDescent="0.3">
      <c r="C96" s="14">
        <v>95</v>
      </c>
      <c r="D96" s="14" t="s">
        <v>97</v>
      </c>
      <c r="E96" s="14">
        <v>1.028</v>
      </c>
      <c r="F96" s="14">
        <v>1.6E-2</v>
      </c>
      <c r="L96" s="5">
        <v>95</v>
      </c>
      <c r="M96" t="s">
        <v>96</v>
      </c>
      <c r="N96" s="6">
        <v>1.6E-2</v>
      </c>
    </row>
    <row r="97" spans="3:14" x14ac:dyDescent="0.3">
      <c r="C97" s="14">
        <v>96</v>
      </c>
      <c r="D97" s="14" t="s">
        <v>98</v>
      </c>
      <c r="E97" s="14">
        <v>1.1160000000000001</v>
      </c>
      <c r="F97" s="14">
        <v>1.6E-2</v>
      </c>
      <c r="L97" s="5">
        <v>96</v>
      </c>
      <c r="M97" t="s">
        <v>97</v>
      </c>
      <c r="N97" s="6">
        <v>1.6E-2</v>
      </c>
    </row>
    <row r="98" spans="3:14" x14ac:dyDescent="0.3">
      <c r="C98" s="14">
        <v>97</v>
      </c>
      <c r="D98" s="14" t="s">
        <v>99</v>
      </c>
      <c r="E98" s="14">
        <v>0.99399999999999999</v>
      </c>
      <c r="F98" s="14">
        <f>MIN(J13,J19/3)</f>
        <v>1.6666666666666666E-2</v>
      </c>
      <c r="L98" s="5">
        <v>97</v>
      </c>
      <c r="M98" t="s">
        <v>98</v>
      </c>
      <c r="N98" s="6">
        <v>1.6E-2</v>
      </c>
    </row>
    <row r="99" spans="3:14" x14ac:dyDescent="0.3">
      <c r="C99" s="14">
        <v>98</v>
      </c>
      <c r="D99" s="14" t="s">
        <v>100</v>
      </c>
      <c r="E99" s="14">
        <v>1.008</v>
      </c>
      <c r="F99" s="14">
        <v>1.6E-2</v>
      </c>
      <c r="L99" s="5">
        <v>98</v>
      </c>
      <c r="M99" t="s">
        <v>100</v>
      </c>
      <c r="N99" s="6">
        <v>1.6E-2</v>
      </c>
    </row>
    <row r="100" spans="3:14" x14ac:dyDescent="0.3">
      <c r="C100" s="14">
        <v>99</v>
      </c>
      <c r="D100" s="14" t="s">
        <v>101</v>
      </c>
      <c r="E100" s="14">
        <v>1.0349999999999999</v>
      </c>
      <c r="F100" s="14">
        <v>1.6E-2</v>
      </c>
      <c r="L100" s="5">
        <v>99</v>
      </c>
      <c r="M100" t="s">
        <v>101</v>
      </c>
      <c r="N100" s="6">
        <v>1.6E-2</v>
      </c>
    </row>
    <row r="101" spans="3:14" x14ac:dyDescent="0.3">
      <c r="C101" s="14">
        <v>100</v>
      </c>
      <c r="D101" s="14" t="s">
        <v>102</v>
      </c>
      <c r="E101" s="14">
        <v>0.997</v>
      </c>
      <c r="F101" s="14">
        <v>1.6E-2</v>
      </c>
      <c r="L101" s="5">
        <v>100</v>
      </c>
      <c r="M101" t="s">
        <v>102</v>
      </c>
      <c r="N101" s="6">
        <v>1.6E-2</v>
      </c>
    </row>
    <row r="102" spans="3:14" x14ac:dyDescent="0.3">
      <c r="C102" s="14">
        <v>101</v>
      </c>
      <c r="D102" s="14" t="s">
        <v>103</v>
      </c>
      <c r="E102" s="14">
        <v>1.0109999999999999</v>
      </c>
      <c r="F102" s="14">
        <v>1.6E-2</v>
      </c>
      <c r="L102" s="5">
        <v>101</v>
      </c>
      <c r="M102" t="s">
        <v>103</v>
      </c>
      <c r="N102" s="6">
        <v>1.6E-2</v>
      </c>
    </row>
    <row r="103" spans="3:14" x14ac:dyDescent="0.3">
      <c r="C103" s="14">
        <v>102</v>
      </c>
      <c r="D103" s="14" t="s">
        <v>104</v>
      </c>
      <c r="E103" s="14">
        <v>0.98099999999999998</v>
      </c>
      <c r="F103" s="14">
        <v>1.6E-2</v>
      </c>
      <c r="L103" s="5">
        <v>102</v>
      </c>
      <c r="M103" t="s">
        <v>104</v>
      </c>
      <c r="N103" s="6">
        <v>1.6E-2</v>
      </c>
    </row>
    <row r="104" spans="3:14" x14ac:dyDescent="0.3">
      <c r="C104" s="14">
        <v>103</v>
      </c>
      <c r="D104" s="14" t="s">
        <v>105</v>
      </c>
      <c r="E104" s="14">
        <v>0.995</v>
      </c>
      <c r="F104" s="14">
        <v>1.6E-2</v>
      </c>
      <c r="L104" s="5">
        <v>103</v>
      </c>
      <c r="M104" t="s">
        <v>105</v>
      </c>
      <c r="N104" s="6">
        <v>1.6E-2</v>
      </c>
    </row>
    <row r="105" spans="3:14" x14ac:dyDescent="0.3">
      <c r="C105" s="14">
        <v>104</v>
      </c>
      <c r="D105" s="14" t="s">
        <v>106</v>
      </c>
      <c r="E105" s="14">
        <v>1.115</v>
      </c>
      <c r="F105" s="14">
        <v>1.6E-2</v>
      </c>
      <c r="L105" s="5">
        <v>104</v>
      </c>
      <c r="M105" t="s">
        <v>106</v>
      </c>
      <c r="N105" s="6">
        <v>1.6E-2</v>
      </c>
    </row>
    <row r="106" spans="3:14" x14ac:dyDescent="0.3">
      <c r="C106" s="14">
        <v>105</v>
      </c>
      <c r="D106" s="14" t="s">
        <v>107</v>
      </c>
      <c r="E106" s="14">
        <v>1.1240000000000001</v>
      </c>
      <c r="F106" s="14">
        <v>1.6E-2</v>
      </c>
      <c r="L106" s="5">
        <v>105</v>
      </c>
      <c r="M106" t="s">
        <v>107</v>
      </c>
      <c r="N106" s="6">
        <v>1.6E-2</v>
      </c>
    </row>
    <row r="107" spans="3:14" ht="15" thickBot="1" x14ac:dyDescent="0.35">
      <c r="C107" s="14">
        <v>106</v>
      </c>
      <c r="D107" s="14" t="s">
        <v>108</v>
      </c>
      <c r="E107" s="14">
        <v>1.1240000000000001</v>
      </c>
      <c r="F107" s="14">
        <v>1.6E-2</v>
      </c>
      <c r="L107" s="5">
        <v>106</v>
      </c>
      <c r="M107" s="8" t="s">
        <v>108</v>
      </c>
      <c r="N107" s="9">
        <v>1.6E-2</v>
      </c>
    </row>
  </sheetData>
  <sortState xmlns:xlrd2="http://schemas.microsoft.com/office/spreadsheetml/2017/richdata2" ref="L2:N107">
    <sortCondition descending="1" ref="N2:N107"/>
  </sortState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43"/>
  <sheetViews>
    <sheetView topLeftCell="A126" workbookViewId="0">
      <selection activeCell="G142" sqref="G142"/>
    </sheetView>
  </sheetViews>
  <sheetFormatPr defaultRowHeight="14.4" x14ac:dyDescent="0.3"/>
  <cols>
    <col min="2" max="2" width="6.88671875" customWidth="1"/>
    <col min="3" max="3" width="16.44140625" customWidth="1"/>
    <col min="4" max="4" width="13.5546875" customWidth="1"/>
    <col min="5" max="5" width="10.5546875" customWidth="1"/>
    <col min="6" max="6" width="12" customWidth="1"/>
    <col min="7" max="7" width="15" customWidth="1"/>
    <col min="8" max="8" width="22.44140625" bestFit="1" customWidth="1"/>
  </cols>
  <sheetData>
    <row r="2" spans="2:5" x14ac:dyDescent="0.3">
      <c r="B2" t="s">
        <v>203</v>
      </c>
      <c r="C2" t="s">
        <v>204</v>
      </c>
    </row>
    <row r="4" spans="2:5" x14ac:dyDescent="0.3">
      <c r="B4" s="50" t="s">
        <v>115</v>
      </c>
      <c r="C4" s="51"/>
      <c r="D4" s="51"/>
      <c r="E4" s="52"/>
    </row>
    <row r="5" spans="2:5" ht="57.6" x14ac:dyDescent="0.3">
      <c r="B5" s="21" t="s">
        <v>0</v>
      </c>
      <c r="C5" s="21" t="s">
        <v>206</v>
      </c>
      <c r="D5" s="21" t="s">
        <v>207</v>
      </c>
      <c r="E5" s="22" t="s">
        <v>205</v>
      </c>
    </row>
    <row r="6" spans="2:5" x14ac:dyDescent="0.3">
      <c r="B6" s="20">
        <v>1</v>
      </c>
      <c r="C6" s="20" t="s">
        <v>140</v>
      </c>
      <c r="D6" s="20" t="s">
        <v>114</v>
      </c>
      <c r="E6" s="20">
        <v>17100</v>
      </c>
    </row>
    <row r="7" spans="2:5" x14ac:dyDescent="0.3">
      <c r="B7" s="20">
        <v>2</v>
      </c>
      <c r="C7" s="20" t="s">
        <v>141</v>
      </c>
      <c r="D7" s="20" t="s">
        <v>113</v>
      </c>
      <c r="E7" s="20">
        <v>7</v>
      </c>
    </row>
    <row r="8" spans="2:5" x14ac:dyDescent="0.3">
      <c r="B8" s="20">
        <v>3</v>
      </c>
      <c r="C8" s="20" t="s">
        <v>117</v>
      </c>
      <c r="D8" s="20" t="s">
        <v>118</v>
      </c>
      <c r="E8" s="20">
        <v>0.25</v>
      </c>
    </row>
    <row r="9" spans="2:5" x14ac:dyDescent="0.3">
      <c r="B9" s="20">
        <v>4</v>
      </c>
      <c r="C9" s="20" t="s">
        <v>125</v>
      </c>
      <c r="D9" s="20" t="s">
        <v>119</v>
      </c>
      <c r="E9" s="20">
        <v>0.23</v>
      </c>
    </row>
    <row r="10" spans="2:5" x14ac:dyDescent="0.3">
      <c r="B10" s="20">
        <v>5</v>
      </c>
      <c r="C10" s="20" t="s">
        <v>126</v>
      </c>
      <c r="D10" s="20" t="s">
        <v>120</v>
      </c>
      <c r="E10" s="20">
        <v>13</v>
      </c>
    </row>
    <row r="11" spans="2:5" x14ac:dyDescent="0.3">
      <c r="B11" s="20">
        <v>6</v>
      </c>
      <c r="C11" s="20" t="s">
        <v>138</v>
      </c>
      <c r="D11" s="20" t="s">
        <v>121</v>
      </c>
      <c r="E11" s="20">
        <v>0.05</v>
      </c>
    </row>
    <row r="12" spans="2:5" x14ac:dyDescent="0.3">
      <c r="B12" s="20">
        <v>7</v>
      </c>
      <c r="C12" s="20" t="s">
        <v>127</v>
      </c>
      <c r="D12" s="20" t="s">
        <v>122</v>
      </c>
      <c r="E12" s="20">
        <v>0.27</v>
      </c>
    </row>
    <row r="13" spans="2:5" x14ac:dyDescent="0.3">
      <c r="B13" s="20">
        <v>8</v>
      </c>
      <c r="C13" s="20" t="s">
        <v>139</v>
      </c>
      <c r="D13" s="20" t="s">
        <v>123</v>
      </c>
      <c r="E13" s="20">
        <v>0.3</v>
      </c>
    </row>
    <row r="14" spans="2:5" x14ac:dyDescent="0.3">
      <c r="B14" s="20">
        <v>9</v>
      </c>
      <c r="C14" s="20" t="s">
        <v>128</v>
      </c>
      <c r="D14" s="20" t="s">
        <v>124</v>
      </c>
      <c r="E14" s="20">
        <v>0.46</v>
      </c>
    </row>
    <row r="15" spans="2:5" x14ac:dyDescent="0.3">
      <c r="B15" s="20"/>
      <c r="C15" s="20"/>
      <c r="D15" s="20"/>
      <c r="E15" s="20"/>
    </row>
    <row r="16" spans="2:5" x14ac:dyDescent="0.3">
      <c r="B16" s="50" t="s">
        <v>129</v>
      </c>
      <c r="C16" s="51"/>
      <c r="D16" s="51"/>
      <c r="E16" s="52"/>
    </row>
    <row r="17" spans="2:8" x14ac:dyDescent="0.3">
      <c r="B17" s="20">
        <v>1</v>
      </c>
      <c r="C17" s="20" t="s">
        <v>130</v>
      </c>
      <c r="D17" s="20" t="s">
        <v>133</v>
      </c>
      <c r="E17" s="20">
        <v>76</v>
      </c>
    </row>
    <row r="18" spans="2:8" x14ac:dyDescent="0.3">
      <c r="B18" s="20">
        <v>2</v>
      </c>
      <c r="C18" s="20" t="s">
        <v>131</v>
      </c>
      <c r="D18" s="20" t="s">
        <v>134</v>
      </c>
      <c r="E18" s="20">
        <v>0.3</v>
      </c>
    </row>
    <row r="19" spans="2:8" x14ac:dyDescent="0.3">
      <c r="B19" s="20">
        <v>3</v>
      </c>
      <c r="C19" s="20" t="s">
        <v>132</v>
      </c>
      <c r="D19" s="20" t="s">
        <v>135</v>
      </c>
      <c r="E19" s="20">
        <v>0.05</v>
      </c>
    </row>
    <row r="22" spans="2:8" x14ac:dyDescent="0.3">
      <c r="B22" t="s">
        <v>208</v>
      </c>
      <c r="C22" s="23" t="s">
        <v>211</v>
      </c>
    </row>
    <row r="24" spans="2:8" x14ac:dyDescent="0.3">
      <c r="B24" s="49" t="s">
        <v>142</v>
      </c>
      <c r="C24" s="49"/>
      <c r="D24" s="49"/>
    </row>
    <row r="25" spans="2:8" x14ac:dyDescent="0.3">
      <c r="B25" s="13" t="s">
        <v>0</v>
      </c>
      <c r="C25" s="1" t="s">
        <v>209</v>
      </c>
      <c r="D25" s="13" t="s">
        <v>210</v>
      </c>
      <c r="H25" s="1"/>
    </row>
    <row r="26" spans="2:8" x14ac:dyDescent="0.3">
      <c r="B26" s="14">
        <v>1</v>
      </c>
      <c r="C26" s="24" t="s">
        <v>143</v>
      </c>
      <c r="D26" s="14" t="s">
        <v>161</v>
      </c>
    </row>
    <row r="27" spans="2:8" x14ac:dyDescent="0.3">
      <c r="B27" s="14">
        <v>2</v>
      </c>
      <c r="C27" s="14" t="s">
        <v>145</v>
      </c>
      <c r="D27" s="14" t="s">
        <v>163</v>
      </c>
    </row>
    <row r="28" spans="2:8" x14ac:dyDescent="0.3">
      <c r="B28" s="14">
        <v>3</v>
      </c>
      <c r="C28" s="14" t="s">
        <v>144</v>
      </c>
      <c r="D28" s="14" t="s">
        <v>162</v>
      </c>
    </row>
    <row r="29" spans="2:8" x14ac:dyDescent="0.3">
      <c r="B29" s="14">
        <v>4</v>
      </c>
      <c r="C29" s="25" t="s">
        <v>147</v>
      </c>
      <c r="D29" s="14" t="s">
        <v>165</v>
      </c>
    </row>
    <row r="30" spans="2:8" x14ac:dyDescent="0.3">
      <c r="B30" s="14">
        <v>5</v>
      </c>
      <c r="C30" s="14" t="s">
        <v>146</v>
      </c>
      <c r="D30" s="14" t="s">
        <v>164</v>
      </c>
    </row>
    <row r="31" spans="2:8" x14ac:dyDescent="0.3">
      <c r="B31" s="14">
        <v>6</v>
      </c>
      <c r="C31" s="14" t="s">
        <v>149</v>
      </c>
      <c r="D31" s="14" t="s">
        <v>167</v>
      </c>
    </row>
    <row r="32" spans="2:8" x14ac:dyDescent="0.3">
      <c r="B32" s="14">
        <v>7</v>
      </c>
      <c r="C32" s="14" t="s">
        <v>148</v>
      </c>
      <c r="D32" s="14" t="s">
        <v>166</v>
      </c>
    </row>
    <row r="33" spans="2:7" x14ac:dyDescent="0.3">
      <c r="B33" s="14">
        <v>8</v>
      </c>
      <c r="C33" s="25" t="s">
        <v>151</v>
      </c>
      <c r="D33" s="14" t="s">
        <v>169</v>
      </c>
    </row>
    <row r="34" spans="2:7" x14ac:dyDescent="0.3">
      <c r="B34" s="14">
        <v>9</v>
      </c>
      <c r="C34" s="14" t="s">
        <v>150</v>
      </c>
      <c r="D34" s="14" t="s">
        <v>168</v>
      </c>
    </row>
    <row r="35" spans="2:7" x14ac:dyDescent="0.3">
      <c r="B35" s="14">
        <v>10</v>
      </c>
      <c r="C35" s="14" t="s">
        <v>153</v>
      </c>
      <c r="D35" s="14" t="s">
        <v>171</v>
      </c>
    </row>
    <row r="36" spans="2:7" x14ac:dyDescent="0.3">
      <c r="B36" s="14">
        <v>11</v>
      </c>
      <c r="C36" s="25" t="s">
        <v>152</v>
      </c>
      <c r="D36" s="14" t="s">
        <v>170</v>
      </c>
    </row>
    <row r="37" spans="2:7" x14ac:dyDescent="0.3">
      <c r="B37" s="14">
        <v>12</v>
      </c>
      <c r="C37" s="14" t="s">
        <v>155</v>
      </c>
      <c r="D37" s="14" t="s">
        <v>155</v>
      </c>
    </row>
    <row r="38" spans="2:7" x14ac:dyDescent="0.3">
      <c r="B38" s="14">
        <v>13</v>
      </c>
      <c r="C38" s="25" t="s">
        <v>154</v>
      </c>
      <c r="D38" s="14" t="s">
        <v>172</v>
      </c>
    </row>
    <row r="39" spans="2:7" x14ac:dyDescent="0.3">
      <c r="B39" s="14">
        <v>14</v>
      </c>
      <c r="C39" s="25" t="s">
        <v>157</v>
      </c>
      <c r="D39" s="14" t="s">
        <v>174</v>
      </c>
    </row>
    <row r="40" spans="2:7" x14ac:dyDescent="0.3">
      <c r="B40" s="14">
        <v>15</v>
      </c>
      <c r="C40" s="14" t="s">
        <v>156</v>
      </c>
      <c r="D40" s="14" t="s">
        <v>173</v>
      </c>
    </row>
    <row r="41" spans="2:7" x14ac:dyDescent="0.3">
      <c r="B41" s="14">
        <v>16</v>
      </c>
      <c r="C41" s="14" t="s">
        <v>159</v>
      </c>
      <c r="D41" s="14" t="s">
        <v>176</v>
      </c>
    </row>
    <row r="42" spans="2:7" x14ac:dyDescent="0.3">
      <c r="B42" s="14">
        <v>17</v>
      </c>
      <c r="C42" s="14" t="s">
        <v>158</v>
      </c>
      <c r="D42" s="14" t="s">
        <v>175</v>
      </c>
    </row>
    <row r="43" spans="2:7" x14ac:dyDescent="0.3">
      <c r="B43" s="14">
        <v>18</v>
      </c>
      <c r="C43" s="14" t="s">
        <v>160</v>
      </c>
      <c r="D43" s="14" t="s">
        <v>177</v>
      </c>
    </row>
    <row r="46" spans="2:7" x14ac:dyDescent="0.3">
      <c r="B46" t="s">
        <v>212</v>
      </c>
      <c r="C46" t="s">
        <v>213</v>
      </c>
    </row>
    <row r="47" spans="2:7" ht="15" thickBot="1" x14ac:dyDescent="0.35"/>
    <row r="48" spans="2:7" ht="60" customHeight="1" thickBot="1" x14ac:dyDescent="0.35">
      <c r="B48" s="26" t="s">
        <v>0</v>
      </c>
      <c r="C48" s="27" t="s">
        <v>1</v>
      </c>
      <c r="D48" s="31" t="s">
        <v>214</v>
      </c>
      <c r="E48" s="26" t="s">
        <v>0</v>
      </c>
      <c r="F48" s="27" t="s">
        <v>1</v>
      </c>
      <c r="G48" s="31" t="s">
        <v>214</v>
      </c>
    </row>
    <row r="49" spans="2:7" ht="15" thickBot="1" x14ac:dyDescent="0.35">
      <c r="B49" s="28">
        <v>1</v>
      </c>
      <c r="C49" s="29" t="s">
        <v>67</v>
      </c>
      <c r="D49" s="30">
        <v>25.333333329999999</v>
      </c>
      <c r="E49" s="28">
        <v>54</v>
      </c>
      <c r="F49" s="29" t="s">
        <v>47</v>
      </c>
      <c r="G49" s="30">
        <v>0.1</v>
      </c>
    </row>
    <row r="50" spans="2:7" ht="15" thickBot="1" x14ac:dyDescent="0.35">
      <c r="B50" s="28">
        <v>2</v>
      </c>
      <c r="C50" s="29" t="s">
        <v>68</v>
      </c>
      <c r="D50" s="30">
        <v>25.3</v>
      </c>
      <c r="E50" s="28">
        <v>55</v>
      </c>
      <c r="F50" s="29" t="s">
        <v>91</v>
      </c>
      <c r="G50" s="30">
        <v>0.1</v>
      </c>
    </row>
    <row r="51" spans="2:7" ht="15" thickBot="1" x14ac:dyDescent="0.35">
      <c r="B51" s="28">
        <v>3</v>
      </c>
      <c r="C51" s="29" t="s">
        <v>69</v>
      </c>
      <c r="D51" s="30">
        <v>25.3</v>
      </c>
      <c r="E51" s="28">
        <v>56</v>
      </c>
      <c r="F51" s="29" t="s">
        <v>62</v>
      </c>
      <c r="G51" s="30">
        <v>0.05</v>
      </c>
    </row>
    <row r="52" spans="2:7" ht="15" thickBot="1" x14ac:dyDescent="0.35">
      <c r="B52" s="28">
        <v>4</v>
      </c>
      <c r="C52" s="29" t="s">
        <v>3</v>
      </c>
      <c r="D52" s="30">
        <v>13</v>
      </c>
      <c r="E52" s="28">
        <v>57</v>
      </c>
      <c r="F52" s="29" t="s">
        <v>63</v>
      </c>
      <c r="G52" s="30">
        <v>0.05</v>
      </c>
    </row>
    <row r="53" spans="2:7" ht="15" thickBot="1" x14ac:dyDescent="0.35">
      <c r="B53" s="28">
        <v>5</v>
      </c>
      <c r="C53" s="29" t="s">
        <v>4</v>
      </c>
      <c r="D53" s="30">
        <v>13</v>
      </c>
      <c r="E53" s="28">
        <v>58</v>
      </c>
      <c r="F53" s="29" t="s">
        <v>64</v>
      </c>
      <c r="G53" s="30">
        <v>0.05</v>
      </c>
    </row>
    <row r="54" spans="2:7" ht="15" thickBot="1" x14ac:dyDescent="0.35">
      <c r="B54" s="28">
        <v>6</v>
      </c>
      <c r="C54" s="29" t="s">
        <v>5</v>
      </c>
      <c r="D54" s="30">
        <v>13</v>
      </c>
      <c r="E54" s="28">
        <v>59</v>
      </c>
      <c r="F54" s="29" t="s">
        <v>65</v>
      </c>
      <c r="G54" s="30">
        <v>0.05</v>
      </c>
    </row>
    <row r="55" spans="2:7" ht="15" thickBot="1" x14ac:dyDescent="0.35">
      <c r="B55" s="28">
        <v>7</v>
      </c>
      <c r="C55" s="29" t="s">
        <v>6</v>
      </c>
      <c r="D55" s="30">
        <v>13</v>
      </c>
      <c r="E55" s="28">
        <v>60</v>
      </c>
      <c r="F55" s="29" t="s">
        <v>70</v>
      </c>
      <c r="G55" s="30">
        <v>0.05</v>
      </c>
    </row>
    <row r="56" spans="2:7" ht="15" thickBot="1" x14ac:dyDescent="0.35">
      <c r="B56" s="28">
        <v>8</v>
      </c>
      <c r="C56" s="29" t="s">
        <v>7</v>
      </c>
      <c r="D56" s="30">
        <v>13</v>
      </c>
      <c r="E56" s="28">
        <v>61</v>
      </c>
      <c r="F56" s="29" t="s">
        <v>71</v>
      </c>
      <c r="G56" s="30">
        <v>0.05</v>
      </c>
    </row>
    <row r="57" spans="2:7" ht="15" thickBot="1" x14ac:dyDescent="0.35">
      <c r="B57" s="28">
        <v>9</v>
      </c>
      <c r="C57" s="29" t="s">
        <v>8</v>
      </c>
      <c r="D57" s="30">
        <v>13</v>
      </c>
      <c r="E57" s="28">
        <v>62</v>
      </c>
      <c r="F57" s="29" t="s">
        <v>72</v>
      </c>
      <c r="G57" s="30">
        <v>0.05</v>
      </c>
    </row>
    <row r="58" spans="2:7" ht="15" thickBot="1" x14ac:dyDescent="0.35">
      <c r="B58" s="28">
        <v>10</v>
      </c>
      <c r="C58" s="29" t="s">
        <v>79</v>
      </c>
      <c r="D58" s="30">
        <v>0.9</v>
      </c>
      <c r="E58" s="28">
        <v>63</v>
      </c>
      <c r="F58" s="29" t="s">
        <v>33</v>
      </c>
      <c r="G58" s="30">
        <v>1.6666667E-2</v>
      </c>
    </row>
    <row r="59" spans="2:7" ht="15" thickBot="1" x14ac:dyDescent="0.35">
      <c r="B59" s="28">
        <v>11</v>
      </c>
      <c r="C59" s="29" t="s">
        <v>80</v>
      </c>
      <c r="D59" s="30">
        <v>0.9</v>
      </c>
      <c r="E59" s="28">
        <v>64</v>
      </c>
      <c r="F59" s="29" t="s">
        <v>50</v>
      </c>
      <c r="G59" s="30">
        <v>1.6666667E-2</v>
      </c>
    </row>
    <row r="60" spans="2:7" ht="15" thickBot="1" x14ac:dyDescent="0.35">
      <c r="B60" s="28">
        <v>12</v>
      </c>
      <c r="C60" s="29" t="s">
        <v>81</v>
      </c>
      <c r="D60" s="30">
        <v>0.9</v>
      </c>
      <c r="E60" s="28">
        <v>65</v>
      </c>
      <c r="F60" s="29" t="s">
        <v>73</v>
      </c>
      <c r="G60" s="30">
        <v>1.6666667E-2</v>
      </c>
    </row>
    <row r="61" spans="2:7" ht="15" thickBot="1" x14ac:dyDescent="0.35">
      <c r="B61" s="28">
        <v>13</v>
      </c>
      <c r="C61" s="29" t="s">
        <v>78</v>
      </c>
      <c r="D61" s="30">
        <v>0.9</v>
      </c>
      <c r="E61" s="28">
        <v>66</v>
      </c>
      <c r="F61" s="29" t="s">
        <v>86</v>
      </c>
      <c r="G61" s="30">
        <v>1.6666667E-2</v>
      </c>
    </row>
    <row r="62" spans="2:7" ht="15" thickBot="1" x14ac:dyDescent="0.35">
      <c r="B62" s="28">
        <v>14</v>
      </c>
      <c r="C62" s="29" t="s">
        <v>26</v>
      </c>
      <c r="D62" s="30">
        <v>0.46</v>
      </c>
      <c r="E62" s="28">
        <v>67</v>
      </c>
      <c r="F62" s="29" t="s">
        <v>95</v>
      </c>
      <c r="G62" s="30">
        <v>1.6666667E-2</v>
      </c>
    </row>
    <row r="63" spans="2:7" ht="15" thickBot="1" x14ac:dyDescent="0.35">
      <c r="B63" s="28">
        <v>15</v>
      </c>
      <c r="C63" s="29" t="s">
        <v>27</v>
      </c>
      <c r="D63" s="30">
        <v>0.46</v>
      </c>
      <c r="E63" s="28">
        <v>68</v>
      </c>
      <c r="F63" s="29" t="s">
        <v>99</v>
      </c>
      <c r="G63" s="30">
        <v>1.6666667E-2</v>
      </c>
    </row>
    <row r="64" spans="2:7" ht="15" thickBot="1" x14ac:dyDescent="0.35">
      <c r="B64" s="28">
        <v>16</v>
      </c>
      <c r="C64" s="29" t="s">
        <v>28</v>
      </c>
      <c r="D64" s="30">
        <v>0.46</v>
      </c>
      <c r="E64" s="28">
        <v>69</v>
      </c>
      <c r="F64" s="29" t="s">
        <v>34</v>
      </c>
      <c r="G64" s="30">
        <v>1.6E-2</v>
      </c>
    </row>
    <row r="65" spans="2:7" ht="15" thickBot="1" x14ac:dyDescent="0.35">
      <c r="B65" s="28">
        <v>17</v>
      </c>
      <c r="C65" s="29" t="s">
        <v>29</v>
      </c>
      <c r="D65" s="30">
        <v>0.46</v>
      </c>
      <c r="E65" s="28">
        <v>70</v>
      </c>
      <c r="F65" s="29" t="s">
        <v>35</v>
      </c>
      <c r="G65" s="30">
        <v>1.6E-2</v>
      </c>
    </row>
    <row r="66" spans="2:7" ht="15" thickBot="1" x14ac:dyDescent="0.35">
      <c r="B66" s="28">
        <v>18</v>
      </c>
      <c r="C66" s="29" t="s">
        <v>74</v>
      </c>
      <c r="D66" s="30">
        <v>0.3</v>
      </c>
      <c r="E66" s="28">
        <v>71</v>
      </c>
      <c r="F66" s="29" t="s">
        <v>36</v>
      </c>
      <c r="G66" s="30">
        <v>1.6E-2</v>
      </c>
    </row>
    <row r="67" spans="2:7" ht="15" thickBot="1" x14ac:dyDescent="0.35">
      <c r="B67" s="28">
        <v>19</v>
      </c>
      <c r="C67" s="29" t="s">
        <v>75</v>
      </c>
      <c r="D67" s="30">
        <v>0.3</v>
      </c>
      <c r="E67" s="28">
        <v>72</v>
      </c>
      <c r="F67" s="29" t="s">
        <v>37</v>
      </c>
      <c r="G67" s="30">
        <v>1.6E-2</v>
      </c>
    </row>
    <row r="68" spans="2:7" ht="15" thickBot="1" x14ac:dyDescent="0.35">
      <c r="B68" s="28">
        <v>20</v>
      </c>
      <c r="C68" s="29" t="s">
        <v>76</v>
      </c>
      <c r="D68" s="30">
        <v>0.3</v>
      </c>
      <c r="E68" s="28">
        <v>73</v>
      </c>
      <c r="F68" s="29" t="s">
        <v>38</v>
      </c>
      <c r="G68" s="30">
        <v>1.6E-2</v>
      </c>
    </row>
    <row r="69" spans="2:7" ht="15" thickBot="1" x14ac:dyDescent="0.35">
      <c r="B69" s="28">
        <v>21</v>
      </c>
      <c r="C69" s="29" t="s">
        <v>77</v>
      </c>
      <c r="D69" s="30">
        <v>0.3</v>
      </c>
      <c r="E69" s="28">
        <v>74</v>
      </c>
      <c r="F69" s="29" t="s">
        <v>39</v>
      </c>
      <c r="G69" s="30">
        <v>1.6E-2</v>
      </c>
    </row>
    <row r="70" spans="2:7" ht="15" thickBot="1" x14ac:dyDescent="0.35">
      <c r="B70" s="28">
        <v>22</v>
      </c>
      <c r="C70" s="29" t="s">
        <v>82</v>
      </c>
      <c r="D70" s="30">
        <v>0.3</v>
      </c>
      <c r="E70" s="28">
        <v>75</v>
      </c>
      <c r="F70" s="29" t="s">
        <v>40</v>
      </c>
      <c r="G70" s="30">
        <v>1.6E-2</v>
      </c>
    </row>
    <row r="71" spans="2:7" ht="15" thickBot="1" x14ac:dyDescent="0.35">
      <c r="B71" s="28">
        <v>23</v>
      </c>
      <c r="C71" s="29" t="s">
        <v>83</v>
      </c>
      <c r="D71" s="30">
        <v>0.3</v>
      </c>
      <c r="E71" s="28">
        <v>76</v>
      </c>
      <c r="F71" s="29" t="s">
        <v>41</v>
      </c>
      <c r="G71" s="30">
        <v>1.6E-2</v>
      </c>
    </row>
    <row r="72" spans="2:7" ht="15" thickBot="1" x14ac:dyDescent="0.35">
      <c r="B72" s="28">
        <v>24</v>
      </c>
      <c r="C72" s="29" t="s">
        <v>84</v>
      </c>
      <c r="D72" s="30">
        <v>0.3</v>
      </c>
      <c r="E72" s="28">
        <v>77</v>
      </c>
      <c r="F72" s="29" t="s">
        <v>42</v>
      </c>
      <c r="G72" s="30">
        <v>1.6E-2</v>
      </c>
    </row>
    <row r="73" spans="2:7" ht="15" thickBot="1" x14ac:dyDescent="0.35">
      <c r="B73" s="28">
        <v>25</v>
      </c>
      <c r="C73" s="29" t="s">
        <v>85</v>
      </c>
      <c r="D73" s="30">
        <v>0.3</v>
      </c>
      <c r="E73" s="28">
        <v>78</v>
      </c>
      <c r="F73" s="29" t="s">
        <v>43</v>
      </c>
      <c r="G73" s="30">
        <v>1.6E-2</v>
      </c>
    </row>
    <row r="74" spans="2:7" ht="15" thickBot="1" x14ac:dyDescent="0.35">
      <c r="B74" s="28">
        <v>26</v>
      </c>
      <c r="C74" s="29" t="s">
        <v>30</v>
      </c>
      <c r="D74" s="30">
        <v>0.27</v>
      </c>
      <c r="E74" s="28">
        <v>79</v>
      </c>
      <c r="F74" s="29" t="s">
        <v>44</v>
      </c>
      <c r="G74" s="30">
        <v>1.6E-2</v>
      </c>
    </row>
    <row r="75" spans="2:7" ht="15" thickBot="1" x14ac:dyDescent="0.35">
      <c r="B75" s="28">
        <v>27</v>
      </c>
      <c r="C75" s="29" t="s">
        <v>31</v>
      </c>
      <c r="D75" s="30">
        <v>0.27</v>
      </c>
      <c r="E75" s="28">
        <v>80</v>
      </c>
      <c r="F75" s="29" t="s">
        <v>51</v>
      </c>
      <c r="G75" s="30">
        <v>1.6E-2</v>
      </c>
    </row>
    <row r="76" spans="2:7" ht="15" thickBot="1" x14ac:dyDescent="0.35">
      <c r="B76" s="28">
        <v>28</v>
      </c>
      <c r="C76" s="29" t="s">
        <v>32</v>
      </c>
      <c r="D76" s="30">
        <v>0.27</v>
      </c>
      <c r="E76" s="28">
        <v>81</v>
      </c>
      <c r="F76" s="29" t="s">
        <v>52</v>
      </c>
      <c r="G76" s="30">
        <v>1.6E-2</v>
      </c>
    </row>
    <row r="77" spans="2:7" ht="15" thickBot="1" x14ac:dyDescent="0.35">
      <c r="B77" s="28">
        <v>29</v>
      </c>
      <c r="C77" s="29" t="s">
        <v>9</v>
      </c>
      <c r="D77" s="30">
        <v>0.25</v>
      </c>
      <c r="E77" s="28">
        <v>82</v>
      </c>
      <c r="F77" s="29" t="s">
        <v>53</v>
      </c>
      <c r="G77" s="30">
        <v>1.6E-2</v>
      </c>
    </row>
    <row r="78" spans="2:7" ht="15" thickBot="1" x14ac:dyDescent="0.35">
      <c r="B78" s="28">
        <v>30</v>
      </c>
      <c r="C78" s="29" t="s">
        <v>10</v>
      </c>
      <c r="D78" s="30">
        <v>0.25</v>
      </c>
      <c r="E78" s="28">
        <v>83</v>
      </c>
      <c r="F78" s="29" t="s">
        <v>54</v>
      </c>
      <c r="G78" s="30">
        <v>1.6E-2</v>
      </c>
    </row>
    <row r="79" spans="2:7" ht="15" thickBot="1" x14ac:dyDescent="0.35">
      <c r="B79" s="28">
        <v>31</v>
      </c>
      <c r="C79" s="29" t="s">
        <v>11</v>
      </c>
      <c r="D79" s="30">
        <v>0.25</v>
      </c>
      <c r="E79" s="28">
        <v>84</v>
      </c>
      <c r="F79" s="29" t="s">
        <v>55</v>
      </c>
      <c r="G79" s="30">
        <v>1.6E-2</v>
      </c>
    </row>
    <row r="80" spans="2:7" ht="15" thickBot="1" x14ac:dyDescent="0.35">
      <c r="B80" s="28">
        <v>32</v>
      </c>
      <c r="C80" s="29" t="s">
        <v>12</v>
      </c>
      <c r="D80" s="30">
        <v>0.25</v>
      </c>
      <c r="E80" s="28">
        <v>85</v>
      </c>
      <c r="F80" s="29" t="s">
        <v>56</v>
      </c>
      <c r="G80" s="30">
        <v>1.6E-2</v>
      </c>
    </row>
    <row r="81" spans="2:7" ht="15" thickBot="1" x14ac:dyDescent="0.35">
      <c r="B81" s="28">
        <v>33</v>
      </c>
      <c r="C81" s="29" t="s">
        <v>45</v>
      </c>
      <c r="D81" s="30">
        <v>0.23</v>
      </c>
      <c r="E81" s="28">
        <v>86</v>
      </c>
      <c r="F81" s="29" t="s">
        <v>57</v>
      </c>
      <c r="G81" s="30">
        <v>1.6E-2</v>
      </c>
    </row>
    <row r="82" spans="2:7" ht="15" thickBot="1" x14ac:dyDescent="0.35">
      <c r="B82" s="28">
        <v>34</v>
      </c>
      <c r="C82" s="29" t="s">
        <v>46</v>
      </c>
      <c r="D82" s="30">
        <v>0.23</v>
      </c>
      <c r="E82" s="28">
        <v>87</v>
      </c>
      <c r="F82" s="29" t="s">
        <v>58</v>
      </c>
      <c r="G82" s="30">
        <v>1.6E-2</v>
      </c>
    </row>
    <row r="83" spans="2:7" ht="15" thickBot="1" x14ac:dyDescent="0.35">
      <c r="B83" s="28">
        <v>35</v>
      </c>
      <c r="C83" s="29" t="s">
        <v>66</v>
      </c>
      <c r="D83" s="30">
        <v>0.23</v>
      </c>
      <c r="E83" s="28">
        <v>88</v>
      </c>
      <c r="F83" s="29" t="s">
        <v>59</v>
      </c>
      <c r="G83" s="30">
        <v>1.6E-2</v>
      </c>
    </row>
    <row r="84" spans="2:7" ht="15" thickBot="1" x14ac:dyDescent="0.35">
      <c r="B84" s="28">
        <v>36</v>
      </c>
      <c r="C84" s="29" t="s">
        <v>14</v>
      </c>
      <c r="D84" s="30">
        <v>0.1</v>
      </c>
      <c r="E84" s="28">
        <v>89</v>
      </c>
      <c r="F84" s="29" t="s">
        <v>60</v>
      </c>
      <c r="G84" s="30">
        <v>1.6E-2</v>
      </c>
    </row>
    <row r="85" spans="2:7" ht="15" thickBot="1" x14ac:dyDescent="0.35">
      <c r="B85" s="28">
        <v>37</v>
      </c>
      <c r="C85" s="29" t="s">
        <v>15</v>
      </c>
      <c r="D85" s="30">
        <v>0.1</v>
      </c>
      <c r="E85" s="28">
        <v>90</v>
      </c>
      <c r="F85" s="29" t="s">
        <v>61</v>
      </c>
      <c r="G85" s="30">
        <v>1.6E-2</v>
      </c>
    </row>
    <row r="86" spans="2:7" ht="15" thickBot="1" x14ac:dyDescent="0.35">
      <c r="B86" s="28">
        <v>38</v>
      </c>
      <c r="C86" s="29" t="s">
        <v>16</v>
      </c>
      <c r="D86" s="30">
        <v>0.1</v>
      </c>
      <c r="E86" s="28">
        <v>91</v>
      </c>
      <c r="F86" s="29" t="s">
        <v>87</v>
      </c>
      <c r="G86" s="30">
        <v>1.6E-2</v>
      </c>
    </row>
    <row r="87" spans="2:7" ht="15" thickBot="1" x14ac:dyDescent="0.35">
      <c r="B87" s="28">
        <v>39</v>
      </c>
      <c r="C87" s="29" t="s">
        <v>17</v>
      </c>
      <c r="D87" s="30">
        <v>0.1</v>
      </c>
      <c r="E87" s="28">
        <v>92</v>
      </c>
      <c r="F87" s="29" t="s">
        <v>88</v>
      </c>
      <c r="G87" s="30">
        <v>1.6E-2</v>
      </c>
    </row>
    <row r="88" spans="2:7" ht="15" thickBot="1" x14ac:dyDescent="0.35">
      <c r="B88" s="28">
        <v>40</v>
      </c>
      <c r="C88" s="29" t="s">
        <v>18</v>
      </c>
      <c r="D88" s="30">
        <v>0.1</v>
      </c>
      <c r="E88" s="28">
        <v>93</v>
      </c>
      <c r="F88" s="29" t="s">
        <v>89</v>
      </c>
      <c r="G88" s="30">
        <v>1.6E-2</v>
      </c>
    </row>
    <row r="89" spans="2:7" ht="15" thickBot="1" x14ac:dyDescent="0.35">
      <c r="B89" s="28">
        <v>41</v>
      </c>
      <c r="C89" s="29" t="s">
        <v>19</v>
      </c>
      <c r="D89" s="30">
        <v>0.1</v>
      </c>
      <c r="E89" s="28">
        <v>94</v>
      </c>
      <c r="F89" s="29" t="s">
        <v>90</v>
      </c>
      <c r="G89" s="30">
        <v>1.6E-2</v>
      </c>
    </row>
    <row r="90" spans="2:7" ht="15" thickBot="1" x14ac:dyDescent="0.35">
      <c r="B90" s="28">
        <v>42</v>
      </c>
      <c r="C90" s="29" t="s">
        <v>20</v>
      </c>
      <c r="D90" s="30">
        <v>0.1</v>
      </c>
      <c r="E90" s="28">
        <v>95</v>
      </c>
      <c r="F90" s="29" t="s">
        <v>96</v>
      </c>
      <c r="G90" s="30">
        <v>1.6E-2</v>
      </c>
    </row>
    <row r="91" spans="2:7" ht="15" thickBot="1" x14ac:dyDescent="0.35">
      <c r="B91" s="28">
        <v>43</v>
      </c>
      <c r="C91" s="29" t="s">
        <v>21</v>
      </c>
      <c r="D91" s="30">
        <v>0.1</v>
      </c>
      <c r="E91" s="28">
        <v>96</v>
      </c>
      <c r="F91" s="29" t="s">
        <v>97</v>
      </c>
      <c r="G91" s="30">
        <v>1.6E-2</v>
      </c>
    </row>
    <row r="92" spans="2:7" ht="15" thickBot="1" x14ac:dyDescent="0.35">
      <c r="B92" s="28">
        <v>44</v>
      </c>
      <c r="C92" s="29" t="s">
        <v>22</v>
      </c>
      <c r="D92" s="30">
        <v>0.1</v>
      </c>
      <c r="E92" s="28">
        <v>97</v>
      </c>
      <c r="F92" s="29" t="s">
        <v>98</v>
      </c>
      <c r="G92" s="30">
        <v>1.6E-2</v>
      </c>
    </row>
    <row r="93" spans="2:7" ht="15" thickBot="1" x14ac:dyDescent="0.35">
      <c r="B93" s="28">
        <v>45</v>
      </c>
      <c r="C93" s="29" t="s">
        <v>23</v>
      </c>
      <c r="D93" s="30">
        <v>0.1</v>
      </c>
      <c r="E93" s="28">
        <v>98</v>
      </c>
      <c r="F93" s="29" t="s">
        <v>100</v>
      </c>
      <c r="G93" s="30">
        <v>1.6E-2</v>
      </c>
    </row>
    <row r="94" spans="2:7" ht="15" thickBot="1" x14ac:dyDescent="0.35">
      <c r="B94" s="28">
        <v>46</v>
      </c>
      <c r="C94" s="29" t="s">
        <v>24</v>
      </c>
      <c r="D94" s="30">
        <v>0.1</v>
      </c>
      <c r="E94" s="28">
        <v>99</v>
      </c>
      <c r="F94" s="29" t="s">
        <v>101</v>
      </c>
      <c r="G94" s="30">
        <v>1.6E-2</v>
      </c>
    </row>
    <row r="95" spans="2:7" ht="15" thickBot="1" x14ac:dyDescent="0.35">
      <c r="B95" s="28">
        <v>47</v>
      </c>
      <c r="C95" s="29" t="s">
        <v>25</v>
      </c>
      <c r="D95" s="30">
        <v>0.1</v>
      </c>
      <c r="E95" s="28">
        <v>100</v>
      </c>
      <c r="F95" s="29" t="s">
        <v>102</v>
      </c>
      <c r="G95" s="30">
        <v>1.6E-2</v>
      </c>
    </row>
    <row r="96" spans="2:7" ht="15" thickBot="1" x14ac:dyDescent="0.35">
      <c r="B96" s="28">
        <v>48</v>
      </c>
      <c r="C96" s="29" t="s">
        <v>48</v>
      </c>
      <c r="D96" s="30">
        <v>0.1</v>
      </c>
      <c r="E96" s="28">
        <v>101</v>
      </c>
      <c r="F96" s="29" t="s">
        <v>103</v>
      </c>
      <c r="G96" s="30">
        <v>1.6E-2</v>
      </c>
    </row>
    <row r="97" spans="2:7" ht="15" thickBot="1" x14ac:dyDescent="0.35">
      <c r="B97" s="28">
        <v>49</v>
      </c>
      <c r="C97" s="29" t="s">
        <v>49</v>
      </c>
      <c r="D97" s="30">
        <v>0.1</v>
      </c>
      <c r="E97" s="28">
        <v>102</v>
      </c>
      <c r="F97" s="29" t="s">
        <v>104</v>
      </c>
      <c r="G97" s="30">
        <v>1.6E-2</v>
      </c>
    </row>
    <row r="98" spans="2:7" ht="15" thickBot="1" x14ac:dyDescent="0.35">
      <c r="B98" s="28">
        <v>50</v>
      </c>
      <c r="C98" s="29" t="s">
        <v>92</v>
      </c>
      <c r="D98" s="30">
        <v>0.1</v>
      </c>
      <c r="E98" s="28">
        <v>103</v>
      </c>
      <c r="F98" s="29" t="s">
        <v>105</v>
      </c>
      <c r="G98" s="30">
        <v>1.6E-2</v>
      </c>
    </row>
    <row r="99" spans="2:7" ht="15" thickBot="1" x14ac:dyDescent="0.35">
      <c r="B99" s="28">
        <v>51</v>
      </c>
      <c r="C99" s="29" t="s">
        <v>93</v>
      </c>
      <c r="D99" s="30">
        <v>0.1</v>
      </c>
      <c r="E99" s="28">
        <v>104</v>
      </c>
      <c r="F99" s="29" t="s">
        <v>106</v>
      </c>
      <c r="G99" s="30">
        <v>1.6E-2</v>
      </c>
    </row>
    <row r="100" spans="2:7" ht="15" thickBot="1" x14ac:dyDescent="0.35">
      <c r="B100" s="28">
        <v>52</v>
      </c>
      <c r="C100" s="29" t="s">
        <v>94</v>
      </c>
      <c r="D100" s="30">
        <v>0.1</v>
      </c>
      <c r="E100" s="28">
        <v>105</v>
      </c>
      <c r="F100" s="29" t="s">
        <v>107</v>
      </c>
      <c r="G100" s="30">
        <v>1.6E-2</v>
      </c>
    </row>
    <row r="101" spans="2:7" ht="15" thickBot="1" x14ac:dyDescent="0.35">
      <c r="B101" s="28">
        <v>53</v>
      </c>
      <c r="C101" s="29" t="s">
        <v>13</v>
      </c>
      <c r="D101" s="30">
        <v>0.1</v>
      </c>
      <c r="E101" s="28">
        <v>106</v>
      </c>
      <c r="F101" s="29" t="s">
        <v>108</v>
      </c>
      <c r="G101" s="30">
        <v>1.6E-2</v>
      </c>
    </row>
    <row r="104" spans="2:7" x14ac:dyDescent="0.3">
      <c r="B104" t="s">
        <v>215</v>
      </c>
      <c r="C104" s="32" t="s">
        <v>216</v>
      </c>
    </row>
    <row r="106" spans="2:7" x14ac:dyDescent="0.3">
      <c r="B106" s="13" t="s">
        <v>217</v>
      </c>
      <c r="C106" s="13" t="s">
        <v>206</v>
      </c>
      <c r="D106" s="13" t="s">
        <v>218</v>
      </c>
    </row>
    <row r="107" spans="2:7" x14ac:dyDescent="0.3">
      <c r="B107" s="14">
        <v>1</v>
      </c>
      <c r="C107" s="14" t="s">
        <v>219</v>
      </c>
      <c r="D107" s="14">
        <v>2.95</v>
      </c>
    </row>
    <row r="108" spans="2:7" x14ac:dyDescent="0.3">
      <c r="B108" s="14">
        <v>2</v>
      </c>
      <c r="C108" s="14" t="s">
        <v>220</v>
      </c>
      <c r="D108" s="14">
        <v>3.6</v>
      </c>
    </row>
    <row r="109" spans="2:7" x14ac:dyDescent="0.3">
      <c r="B109" s="14">
        <v>3</v>
      </c>
      <c r="C109" s="14" t="s">
        <v>221</v>
      </c>
      <c r="D109" s="14">
        <v>1.2</v>
      </c>
    </row>
    <row r="110" spans="2:7" x14ac:dyDescent="0.3">
      <c r="B110" s="14">
        <v>4</v>
      </c>
      <c r="C110" s="14" t="s">
        <v>222</v>
      </c>
      <c r="D110" s="14">
        <v>1.6</v>
      </c>
    </row>
    <row r="112" spans="2:7" x14ac:dyDescent="0.3">
      <c r="B112" t="s">
        <v>223</v>
      </c>
      <c r="C112" t="s">
        <v>225</v>
      </c>
    </row>
    <row r="114" spans="2:7" ht="43.2" x14ac:dyDescent="0.3">
      <c r="B114" s="13" t="s">
        <v>0</v>
      </c>
      <c r="C114" s="13" t="s">
        <v>1</v>
      </c>
      <c r="D114" s="19" t="s">
        <v>224</v>
      </c>
      <c r="E114" s="13" t="s">
        <v>0</v>
      </c>
      <c r="F114" s="13" t="s">
        <v>1</v>
      </c>
      <c r="G114" s="19" t="s">
        <v>224</v>
      </c>
    </row>
    <row r="115" spans="2:7" x14ac:dyDescent="0.3">
      <c r="B115" s="14">
        <v>1</v>
      </c>
      <c r="C115" s="14" t="s">
        <v>67</v>
      </c>
      <c r="D115" s="14" t="s">
        <v>196</v>
      </c>
      <c r="E115" s="14">
        <v>18</v>
      </c>
      <c r="F115" s="14" t="s">
        <v>45</v>
      </c>
      <c r="G115" s="14" t="s">
        <v>228</v>
      </c>
    </row>
    <row r="116" spans="2:7" x14ac:dyDescent="0.3">
      <c r="B116" s="14">
        <v>2</v>
      </c>
      <c r="C116" s="14" t="s">
        <v>68</v>
      </c>
      <c r="D116" s="14" t="s">
        <v>196</v>
      </c>
      <c r="E116" s="14">
        <v>19</v>
      </c>
      <c r="F116" s="14" t="s">
        <v>46</v>
      </c>
      <c r="G116" s="14" t="s">
        <v>199</v>
      </c>
    </row>
    <row r="117" spans="2:7" x14ac:dyDescent="0.3">
      <c r="B117" s="14">
        <v>3</v>
      </c>
      <c r="C117" s="14" t="s">
        <v>69</v>
      </c>
      <c r="D117" s="14" t="s">
        <v>196</v>
      </c>
      <c r="E117" s="14">
        <v>20</v>
      </c>
      <c r="F117" s="14" t="s">
        <v>66</v>
      </c>
      <c r="G117" s="14" t="s">
        <v>199</v>
      </c>
    </row>
    <row r="118" spans="2:7" x14ac:dyDescent="0.3">
      <c r="B118" s="14">
        <v>4</v>
      </c>
      <c r="C118" s="14" t="s">
        <v>3</v>
      </c>
      <c r="D118" s="14" t="s">
        <v>197</v>
      </c>
      <c r="E118" s="14">
        <v>21</v>
      </c>
      <c r="F118" s="14" t="s">
        <v>14</v>
      </c>
      <c r="G118" s="14" t="s">
        <v>197</v>
      </c>
    </row>
    <row r="119" spans="2:7" x14ac:dyDescent="0.3">
      <c r="B119" s="14">
        <v>5</v>
      </c>
      <c r="C119" s="14" t="s">
        <v>4</v>
      </c>
      <c r="D119" s="14" t="s">
        <v>197</v>
      </c>
      <c r="E119" s="14">
        <v>22</v>
      </c>
      <c r="F119" s="14" t="s">
        <v>15</v>
      </c>
      <c r="G119" s="14" t="s">
        <v>197</v>
      </c>
    </row>
    <row r="120" spans="2:7" x14ac:dyDescent="0.3">
      <c r="B120" s="14">
        <v>6</v>
      </c>
      <c r="C120" s="14" t="s">
        <v>5</v>
      </c>
      <c r="D120" s="14" t="s">
        <v>197</v>
      </c>
      <c r="E120" s="14">
        <v>23</v>
      </c>
      <c r="F120" s="14" t="s">
        <v>16</v>
      </c>
      <c r="G120" s="14" t="s">
        <v>197</v>
      </c>
    </row>
    <row r="121" spans="2:7" x14ac:dyDescent="0.3">
      <c r="B121" s="14">
        <v>7</v>
      </c>
      <c r="C121" s="14" t="s">
        <v>6</v>
      </c>
      <c r="D121" s="14" t="s">
        <v>197</v>
      </c>
      <c r="E121" s="14">
        <v>24</v>
      </c>
      <c r="F121" s="14" t="s">
        <v>17</v>
      </c>
      <c r="G121" s="14" t="s">
        <v>197</v>
      </c>
    </row>
    <row r="122" spans="2:7" x14ac:dyDescent="0.3">
      <c r="B122" s="14">
        <v>8</v>
      </c>
      <c r="C122" s="14" t="s">
        <v>7</v>
      </c>
      <c r="D122" s="14" t="s">
        <v>197</v>
      </c>
      <c r="E122" s="14">
        <v>25</v>
      </c>
      <c r="F122" s="14" t="s">
        <v>18</v>
      </c>
      <c r="G122" s="14" t="s">
        <v>197</v>
      </c>
    </row>
    <row r="123" spans="2:7" x14ac:dyDescent="0.3">
      <c r="B123" s="14">
        <v>9</v>
      </c>
      <c r="C123" s="14" t="s">
        <v>8</v>
      </c>
      <c r="D123" s="14" t="s">
        <v>197</v>
      </c>
      <c r="E123" s="14">
        <v>26</v>
      </c>
      <c r="F123" s="14" t="s">
        <v>19</v>
      </c>
      <c r="G123" s="14" t="s">
        <v>197</v>
      </c>
    </row>
    <row r="124" spans="2:7" x14ac:dyDescent="0.3">
      <c r="B124" s="14">
        <v>10</v>
      </c>
      <c r="C124" s="14" t="s">
        <v>79</v>
      </c>
      <c r="D124" s="14" t="s">
        <v>196</v>
      </c>
      <c r="E124" s="14">
        <v>27</v>
      </c>
      <c r="F124" s="14" t="s">
        <v>20</v>
      </c>
      <c r="G124" s="14" t="s">
        <v>198</v>
      </c>
    </row>
    <row r="125" spans="2:7" x14ac:dyDescent="0.3">
      <c r="B125" s="14">
        <v>11</v>
      </c>
      <c r="C125" s="14" t="s">
        <v>80</v>
      </c>
      <c r="D125" s="14" t="s">
        <v>196</v>
      </c>
      <c r="E125" s="14">
        <v>28</v>
      </c>
      <c r="F125" s="14" t="s">
        <v>21</v>
      </c>
      <c r="G125" s="14" t="s">
        <v>198</v>
      </c>
    </row>
    <row r="126" spans="2:7" x14ac:dyDescent="0.3">
      <c r="B126" s="14">
        <v>12</v>
      </c>
      <c r="C126" s="14" t="s">
        <v>81</v>
      </c>
      <c r="D126" s="14" t="s">
        <v>196</v>
      </c>
      <c r="E126" s="14">
        <v>29</v>
      </c>
      <c r="F126" s="14" t="s">
        <v>22</v>
      </c>
      <c r="G126" s="14" t="s">
        <v>198</v>
      </c>
    </row>
    <row r="127" spans="2:7" x14ac:dyDescent="0.3">
      <c r="B127" s="14">
        <v>13</v>
      </c>
      <c r="C127" s="14" t="s">
        <v>78</v>
      </c>
      <c r="D127" s="14" t="s">
        <v>196</v>
      </c>
      <c r="E127" s="14">
        <v>30</v>
      </c>
      <c r="F127" s="14" t="s">
        <v>23</v>
      </c>
      <c r="G127" s="14" t="s">
        <v>198</v>
      </c>
    </row>
    <row r="128" spans="2:7" x14ac:dyDescent="0.3">
      <c r="B128" s="14">
        <v>14</v>
      </c>
      <c r="C128" s="14" t="s">
        <v>9</v>
      </c>
      <c r="D128" s="14" t="s">
        <v>198</v>
      </c>
      <c r="E128" s="14">
        <v>31</v>
      </c>
      <c r="F128" s="14" t="s">
        <v>24</v>
      </c>
      <c r="G128" s="14" t="s">
        <v>198</v>
      </c>
    </row>
    <row r="129" spans="2:7" x14ac:dyDescent="0.3">
      <c r="B129" s="14">
        <v>15</v>
      </c>
      <c r="C129" s="14" t="s">
        <v>10</v>
      </c>
      <c r="D129" s="14" t="s">
        <v>198</v>
      </c>
      <c r="E129" s="14">
        <v>32</v>
      </c>
      <c r="F129" s="14" t="s">
        <v>25</v>
      </c>
      <c r="G129" s="14" t="s">
        <v>198</v>
      </c>
    </row>
    <row r="130" spans="2:7" x14ac:dyDescent="0.3">
      <c r="B130" s="14">
        <v>16</v>
      </c>
      <c r="C130" s="14" t="s">
        <v>11</v>
      </c>
      <c r="D130" s="14" t="s">
        <v>198</v>
      </c>
      <c r="E130" s="14">
        <v>33</v>
      </c>
      <c r="F130" s="14" t="s">
        <v>13</v>
      </c>
      <c r="G130" s="14" t="s">
        <v>197</v>
      </c>
    </row>
    <row r="131" spans="2:7" x14ac:dyDescent="0.3">
      <c r="B131" s="14">
        <v>17</v>
      </c>
      <c r="C131" s="14" t="s">
        <v>12</v>
      </c>
      <c r="D131" s="14" t="s">
        <v>198</v>
      </c>
    </row>
    <row r="134" spans="2:7" x14ac:dyDescent="0.3">
      <c r="B134" t="s">
        <v>226</v>
      </c>
      <c r="C134" t="s">
        <v>227</v>
      </c>
    </row>
    <row r="136" spans="2:7" ht="28.8" x14ac:dyDescent="0.3">
      <c r="B136" s="13" t="s">
        <v>0</v>
      </c>
      <c r="C136" s="13" t="s">
        <v>1</v>
      </c>
      <c r="D136" s="19" t="s">
        <v>229</v>
      </c>
    </row>
    <row r="137" spans="2:7" x14ac:dyDescent="0.3">
      <c r="B137" s="14">
        <v>1</v>
      </c>
      <c r="C137" s="14" t="s">
        <v>66</v>
      </c>
      <c r="D137" s="14" t="s">
        <v>199</v>
      </c>
    </row>
    <row r="138" spans="2:7" x14ac:dyDescent="0.3">
      <c r="B138" s="14">
        <v>2</v>
      </c>
      <c r="C138" s="14" t="s">
        <v>20</v>
      </c>
      <c r="D138" s="14" t="s">
        <v>198</v>
      </c>
    </row>
    <row r="139" spans="2:7" x14ac:dyDescent="0.3">
      <c r="B139" s="14">
        <v>3</v>
      </c>
      <c r="C139" s="14" t="s">
        <v>21</v>
      </c>
      <c r="D139" s="14" t="s">
        <v>198</v>
      </c>
    </row>
    <row r="140" spans="2:7" x14ac:dyDescent="0.3">
      <c r="B140" s="14">
        <v>4</v>
      </c>
      <c r="C140" s="14" t="s">
        <v>22</v>
      </c>
      <c r="D140" s="14" t="s">
        <v>198</v>
      </c>
    </row>
    <row r="141" spans="2:7" x14ac:dyDescent="0.3">
      <c r="B141" s="14">
        <v>5</v>
      </c>
      <c r="C141" s="14" t="s">
        <v>23</v>
      </c>
      <c r="D141" s="14" t="s">
        <v>198</v>
      </c>
    </row>
    <row r="142" spans="2:7" x14ac:dyDescent="0.3">
      <c r="B142" s="14">
        <v>6</v>
      </c>
      <c r="C142" s="14" t="s">
        <v>24</v>
      </c>
      <c r="D142" s="14" t="s">
        <v>198</v>
      </c>
    </row>
    <row r="143" spans="2:7" x14ac:dyDescent="0.3">
      <c r="B143" s="14">
        <v>7</v>
      </c>
      <c r="C143" s="14" t="s">
        <v>25</v>
      </c>
      <c r="D143" s="14" t="s">
        <v>198</v>
      </c>
    </row>
  </sheetData>
  <mergeCells count="3">
    <mergeCell ref="B24:D24"/>
    <mergeCell ref="B4:E4"/>
    <mergeCell ref="B16:E16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27"/>
  <sheetViews>
    <sheetView topLeftCell="A2" workbookViewId="0">
      <selection activeCell="O7" sqref="O7"/>
    </sheetView>
  </sheetViews>
  <sheetFormatPr defaultRowHeight="14.4" x14ac:dyDescent="0.3"/>
  <cols>
    <col min="2" max="2" width="10.6640625" bestFit="1" customWidth="1"/>
    <col min="3" max="3" width="12.44140625" customWidth="1"/>
    <col min="4" max="4" width="12.109375" customWidth="1"/>
    <col min="5" max="5" width="2.88671875" customWidth="1"/>
    <col min="6" max="6" width="17" customWidth="1"/>
    <col min="8" max="8" width="14.88671875" bestFit="1" customWidth="1"/>
    <col min="11" max="11" width="8.109375" bestFit="1" customWidth="1"/>
    <col min="12" max="12" width="13.6640625" bestFit="1" customWidth="1"/>
  </cols>
  <sheetData>
    <row r="2" spans="2:18" x14ac:dyDescent="0.3">
      <c r="B2" t="s">
        <v>230</v>
      </c>
      <c r="C2" t="s">
        <v>238</v>
      </c>
    </row>
    <row r="4" spans="2:18" ht="27" customHeight="1" x14ac:dyDescent="0.3">
      <c r="B4" s="36" t="s">
        <v>231</v>
      </c>
      <c r="C4" s="37" t="s">
        <v>244</v>
      </c>
      <c r="D4" s="36" t="s">
        <v>232</v>
      </c>
      <c r="E4" s="36" t="s">
        <v>233</v>
      </c>
      <c r="F4" s="36" t="s">
        <v>234</v>
      </c>
      <c r="G4" s="38" t="s">
        <v>235</v>
      </c>
      <c r="H4" s="38" t="s">
        <v>236</v>
      </c>
      <c r="I4" s="38" t="s">
        <v>237</v>
      </c>
      <c r="J4" s="53" t="s">
        <v>241</v>
      </c>
      <c r="K4" s="51"/>
      <c r="L4" s="39" t="s">
        <v>242</v>
      </c>
    </row>
    <row r="5" spans="2:18" x14ac:dyDescent="0.3">
      <c r="B5" s="40"/>
      <c r="C5" s="40"/>
      <c r="D5" s="40"/>
      <c r="E5" s="40"/>
      <c r="F5" s="40"/>
      <c r="G5" s="40"/>
      <c r="H5" s="40"/>
      <c r="I5" s="40"/>
      <c r="J5" s="41" t="s">
        <v>239</v>
      </c>
      <c r="K5" s="41" t="s">
        <v>240</v>
      </c>
      <c r="L5" s="40"/>
    </row>
    <row r="6" spans="2:18" x14ac:dyDescent="0.3">
      <c r="B6" t="s">
        <v>22</v>
      </c>
      <c r="C6">
        <v>221.95</v>
      </c>
      <c r="D6" s="34">
        <v>6.1559999999999997</v>
      </c>
      <c r="E6" s="34">
        <v>5.891</v>
      </c>
      <c r="F6" s="34">
        <v>6.1210000000000004</v>
      </c>
      <c r="G6" s="33">
        <v>90</v>
      </c>
      <c r="H6" s="33">
        <v>90</v>
      </c>
      <c r="I6" s="33">
        <v>90</v>
      </c>
      <c r="J6" s="33">
        <v>0.86099999999999999</v>
      </c>
      <c r="K6" s="33">
        <v>2.0880000000000001</v>
      </c>
      <c r="L6" s="45" t="s">
        <v>245</v>
      </c>
    </row>
    <row r="7" spans="2:18" x14ac:dyDescent="0.3">
      <c r="B7" t="s">
        <v>25</v>
      </c>
      <c r="C7">
        <v>259.29000000000002</v>
      </c>
      <c r="D7" s="34">
        <v>6.3630000000000004</v>
      </c>
      <c r="E7" s="34">
        <v>6.593</v>
      </c>
      <c r="F7" s="34">
        <v>6.1879999999999997</v>
      </c>
      <c r="G7" s="33">
        <v>92.4</v>
      </c>
      <c r="H7" s="33">
        <v>89.01</v>
      </c>
      <c r="I7" s="33">
        <v>88.76</v>
      </c>
      <c r="J7" s="33">
        <v>2.1760000000000002</v>
      </c>
      <c r="K7" s="33">
        <v>2.6</v>
      </c>
      <c r="L7" s="35" t="s">
        <v>243</v>
      </c>
    </row>
    <row r="8" spans="2:18" x14ac:dyDescent="0.3">
      <c r="B8" s="40" t="s">
        <v>24</v>
      </c>
      <c r="C8" s="40">
        <v>267.11</v>
      </c>
      <c r="D8" s="42">
        <v>6.4779999999999998</v>
      </c>
      <c r="E8" s="42">
        <v>6.58988</v>
      </c>
      <c r="F8" s="42">
        <v>6.2709999999999999</v>
      </c>
      <c r="G8" s="43">
        <v>88.82</v>
      </c>
      <c r="H8" s="43">
        <v>92.51</v>
      </c>
      <c r="I8" s="43">
        <v>92.71</v>
      </c>
      <c r="J8" s="43">
        <v>2.2839999999999998</v>
      </c>
      <c r="K8" s="43">
        <v>4.9000000000000004</v>
      </c>
      <c r="L8" s="44" t="s">
        <v>243</v>
      </c>
    </row>
    <row r="11" spans="2:18" x14ac:dyDescent="0.3">
      <c r="B11" t="s">
        <v>246</v>
      </c>
      <c r="C11" t="s">
        <v>247</v>
      </c>
      <c r="K11" s="48" t="s">
        <v>253</v>
      </c>
    </row>
    <row r="13" spans="2:18" x14ac:dyDescent="0.3">
      <c r="B13" s="36" t="s">
        <v>231</v>
      </c>
      <c r="C13" s="51" t="s">
        <v>250</v>
      </c>
      <c r="D13" s="51"/>
      <c r="E13" s="36"/>
      <c r="F13" s="51" t="s">
        <v>251</v>
      </c>
      <c r="G13" s="51"/>
      <c r="H13" s="36" t="s">
        <v>252</v>
      </c>
      <c r="K13" s="23" t="s">
        <v>22</v>
      </c>
      <c r="N13" s="23" t="s">
        <v>25</v>
      </c>
      <c r="Q13" s="46" t="s">
        <v>24</v>
      </c>
    </row>
    <row r="14" spans="2:18" x14ac:dyDescent="0.3">
      <c r="B14" s="40"/>
      <c r="C14" s="47" t="s">
        <v>248</v>
      </c>
      <c r="D14" s="47" t="s">
        <v>249</v>
      </c>
      <c r="E14" s="47"/>
      <c r="F14" s="47" t="s">
        <v>248</v>
      </c>
      <c r="G14" s="47" t="s">
        <v>249</v>
      </c>
      <c r="H14" s="41"/>
      <c r="J14" t="s">
        <v>254</v>
      </c>
    </row>
    <row r="15" spans="2:18" x14ac:dyDescent="0.3">
      <c r="B15" t="s">
        <v>22</v>
      </c>
      <c r="C15" s="23" t="s">
        <v>259</v>
      </c>
      <c r="D15" s="23">
        <v>3.0680000000000001</v>
      </c>
      <c r="F15" s="23" t="s">
        <v>263</v>
      </c>
      <c r="G15" s="23">
        <v>171</v>
      </c>
      <c r="H15">
        <v>4</v>
      </c>
      <c r="J15" t="s">
        <v>255</v>
      </c>
      <c r="K15">
        <v>2.8820000000000001</v>
      </c>
      <c r="L15">
        <v>3.008</v>
      </c>
      <c r="N15">
        <v>2.6949999999999998</v>
      </c>
      <c r="O15">
        <v>3.9249999999999998</v>
      </c>
      <c r="Q15">
        <v>2.6880000000000002</v>
      </c>
      <c r="R15">
        <v>3.9020000000000001</v>
      </c>
    </row>
    <row r="16" spans="2:18" x14ac:dyDescent="0.3">
      <c r="B16" t="s">
        <v>25</v>
      </c>
      <c r="C16" s="23" t="s">
        <v>258</v>
      </c>
      <c r="D16" s="23" t="s">
        <v>261</v>
      </c>
      <c r="F16" s="23" t="s">
        <v>264</v>
      </c>
      <c r="G16" s="23">
        <v>167</v>
      </c>
      <c r="H16">
        <v>0</v>
      </c>
      <c r="K16">
        <v>3.0779999999999998</v>
      </c>
      <c r="L16">
        <v>3.0790000000000002</v>
      </c>
      <c r="N16">
        <v>2.7469999999999999</v>
      </c>
      <c r="O16">
        <v>3.6269999999999998</v>
      </c>
      <c r="Q16">
        <v>2.8069999999999999</v>
      </c>
      <c r="R16">
        <v>3.7429999999999999</v>
      </c>
    </row>
    <row r="17" spans="2:18" x14ac:dyDescent="0.3">
      <c r="B17" s="40" t="s">
        <v>24</v>
      </c>
      <c r="C17" s="46" t="s">
        <v>260</v>
      </c>
      <c r="D17" s="46" t="s">
        <v>262</v>
      </c>
      <c r="E17" s="40"/>
      <c r="F17" s="46" t="s">
        <v>265</v>
      </c>
      <c r="G17" s="46">
        <v>176</v>
      </c>
      <c r="H17" s="40">
        <v>2</v>
      </c>
    </row>
    <row r="18" spans="2:18" x14ac:dyDescent="0.3">
      <c r="B18" t="s">
        <v>266</v>
      </c>
      <c r="J18" t="s">
        <v>256</v>
      </c>
      <c r="K18">
        <v>3.0680000000000001</v>
      </c>
      <c r="N18">
        <v>2.6819999999999999</v>
      </c>
      <c r="O18">
        <v>3.5430000000000001</v>
      </c>
      <c r="Q18">
        <v>2.706</v>
      </c>
      <c r="R18">
        <v>3.5680000000000001</v>
      </c>
    </row>
    <row r="21" spans="2:18" x14ac:dyDescent="0.3">
      <c r="J21" t="s">
        <v>257</v>
      </c>
    </row>
    <row r="22" spans="2:18" x14ac:dyDescent="0.3">
      <c r="J22" t="s">
        <v>255</v>
      </c>
      <c r="K22">
        <v>180</v>
      </c>
      <c r="L22">
        <v>177</v>
      </c>
      <c r="N22">
        <v>172</v>
      </c>
      <c r="O22">
        <v>169</v>
      </c>
      <c r="Q22">
        <v>163</v>
      </c>
      <c r="R22">
        <v>178</v>
      </c>
    </row>
    <row r="25" spans="2:18" x14ac:dyDescent="0.3">
      <c r="J25" t="s">
        <v>256</v>
      </c>
      <c r="K25">
        <v>171</v>
      </c>
      <c r="N25">
        <v>167</v>
      </c>
      <c r="Q25">
        <v>176</v>
      </c>
    </row>
    <row r="27" spans="2:18" x14ac:dyDescent="0.3">
      <c r="J27" t="s">
        <v>267</v>
      </c>
      <c r="K27">
        <v>4</v>
      </c>
      <c r="N27">
        <v>0</v>
      </c>
      <c r="Q27">
        <v>2</v>
      </c>
    </row>
  </sheetData>
  <mergeCells count="3">
    <mergeCell ref="J4:K4"/>
    <mergeCell ref="C13:D13"/>
    <mergeCell ref="F13:G1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Supp_Tables</vt:lpstr>
      <vt:lpstr>Main_tables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2026-01-13T07:11:52Z</dcterms:modified>
</cp:coreProperties>
</file>